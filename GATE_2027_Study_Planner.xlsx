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ATE\Code\"/>
    </mc:Choice>
  </mc:AlternateContent>
  <xr:revisionPtr revIDLastSave="0" documentId="13_ncr:1_{D00D48F3-F7B0-4C93-A5D4-E3D06C6B5F80}" xr6:coauthVersionLast="47" xr6:coauthVersionMax="47" xr10:uidLastSave="{00000000-0000-0000-0000-000000000000}"/>
  <bookViews>
    <workbookView xWindow="-108" yWindow="-108" windowWidth="23256" windowHeight="13176" tabRatio="882" firstSheet="4" activeTab="11" xr2:uid="{00000000-000D-0000-FFFF-FFFF00000000}"/>
  </bookViews>
  <sheets>
    <sheet name="Overview" sheetId="1" r:id="rId1"/>
    <sheet name="Progress" sheetId="2" r:id="rId2"/>
    <sheet name="Master Planner" sheetId="3" r:id="rId3"/>
    <sheet name="1 C Programming" sheetId="4" r:id="rId4"/>
    <sheet name="2 Data Structures" sheetId="5" r:id="rId5"/>
    <sheet name="3 Algorithms DAA" sheetId="6" r:id="rId6"/>
    <sheet name="4 Compiler Design" sheetId="7" r:id="rId7"/>
    <sheet name="5 Operating Systems" sheetId="8" r:id="rId8"/>
    <sheet name="6 Computer Networks" sheetId="9" r:id="rId9"/>
    <sheet name="7 Engineering Maths" sheetId="10" r:id="rId10"/>
    <sheet name="8 Aptitude" sheetId="11" r:id="rId11"/>
    <sheet name="Sunday Revision" sheetId="12" r:id="rId12"/>
    <sheet name="Uni Exams &amp; Wrap-up" sheetId="13" r:id="rId13"/>
    <sheet name="Playlist Directory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3" l="1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12" i="12"/>
  <c r="B11" i="12"/>
  <c r="B10" i="12"/>
  <c r="B9" i="12"/>
  <c r="B8" i="12"/>
  <c r="B7" i="12"/>
  <c r="B6" i="12"/>
  <c r="B5" i="12"/>
  <c r="I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J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O21" i="9"/>
  <c r="C20" i="9"/>
  <c r="C19" i="9"/>
  <c r="C18" i="9"/>
  <c r="C17" i="9"/>
  <c r="C16" i="9"/>
  <c r="C15" i="9"/>
  <c r="C14" i="9"/>
  <c r="C13" i="9"/>
  <c r="O23" i="8"/>
  <c r="C22" i="8"/>
  <c r="C21" i="8"/>
  <c r="C20" i="8"/>
  <c r="C19" i="8"/>
  <c r="C18" i="8"/>
  <c r="C17" i="8"/>
  <c r="C16" i="8"/>
  <c r="C15" i="8"/>
  <c r="C14" i="8"/>
  <c r="C13" i="8"/>
  <c r="O21" i="7"/>
  <c r="C20" i="7"/>
  <c r="C19" i="7"/>
  <c r="C18" i="7"/>
  <c r="C17" i="7"/>
  <c r="C16" i="7"/>
  <c r="C15" i="7"/>
  <c r="C14" i="7"/>
  <c r="O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O22" i="5"/>
  <c r="C21" i="5"/>
  <c r="C20" i="5"/>
  <c r="C19" i="5"/>
  <c r="C18" i="5"/>
  <c r="C17" i="5"/>
  <c r="C16" i="5"/>
  <c r="C15" i="5"/>
  <c r="C14" i="5"/>
  <c r="C13" i="5"/>
  <c r="O17" i="4"/>
  <c r="C16" i="4"/>
  <c r="C15" i="4"/>
  <c r="C14" i="4"/>
  <c r="C13" i="4"/>
  <c r="C12" i="4"/>
  <c r="K84" i="3"/>
  <c r="B84" i="3"/>
  <c r="K83" i="3"/>
  <c r="B83" i="3"/>
  <c r="K82" i="3"/>
  <c r="B82" i="3"/>
  <c r="K81" i="3"/>
  <c r="B81" i="3"/>
  <c r="K80" i="3"/>
  <c r="B80" i="3"/>
  <c r="K79" i="3"/>
  <c r="B79" i="3"/>
  <c r="K78" i="3"/>
  <c r="B78" i="3"/>
  <c r="K77" i="3"/>
  <c r="B77" i="3"/>
  <c r="K76" i="3"/>
  <c r="B76" i="3"/>
  <c r="K75" i="3"/>
  <c r="B75" i="3"/>
  <c r="K74" i="3"/>
  <c r="B74" i="3"/>
  <c r="K73" i="3"/>
  <c r="B73" i="3"/>
  <c r="K72" i="3"/>
  <c r="B72" i="3"/>
  <c r="K71" i="3"/>
  <c r="B71" i="3"/>
  <c r="K70" i="3"/>
  <c r="B70" i="3"/>
  <c r="K69" i="3"/>
  <c r="B69" i="3"/>
  <c r="K68" i="3"/>
  <c r="B68" i="3"/>
  <c r="K67" i="3"/>
  <c r="B67" i="3"/>
  <c r="K66" i="3"/>
  <c r="B66" i="3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K85" i="3" s="1"/>
  <c r="B6" i="3"/>
  <c r="K5" i="3"/>
  <c r="K86" i="3" s="1"/>
  <c r="B5" i="3"/>
  <c r="B27" i="2"/>
  <c r="E25" i="2"/>
  <c r="E22" i="2"/>
  <c r="E19" i="2"/>
  <c r="E18" i="2"/>
  <c r="C13" i="2"/>
  <c r="B13" i="2"/>
  <c r="D13" i="2" s="1"/>
  <c r="C12" i="2"/>
  <c r="B12" i="2"/>
  <c r="D12" i="2" s="1"/>
  <c r="C11" i="2"/>
  <c r="B11" i="2"/>
  <c r="D11" i="2" s="1"/>
  <c r="C10" i="2"/>
  <c r="B10" i="2"/>
  <c r="D10" i="2" s="1"/>
  <c r="D17" i="2" s="1"/>
  <c r="E17" i="2" s="1"/>
  <c r="C9" i="2"/>
  <c r="B9" i="2"/>
  <c r="D9" i="2" s="1"/>
  <c r="D26" i="2" s="1"/>
  <c r="E26" i="2" s="1"/>
  <c r="C8" i="2"/>
  <c r="B8" i="2"/>
  <c r="D8" i="2" s="1"/>
  <c r="D24" i="2" s="1"/>
  <c r="E24" i="2" s="1"/>
  <c r="C7" i="2"/>
  <c r="B7" i="2"/>
  <c r="D7" i="2" s="1"/>
  <c r="D23" i="2" s="1"/>
  <c r="E23" i="2" s="1"/>
  <c r="C6" i="2"/>
  <c r="B6" i="2"/>
  <c r="D6" i="2" s="1"/>
  <c r="D21" i="2" s="1"/>
  <c r="E21" i="2" s="1"/>
  <c r="C5" i="2"/>
  <c r="B5" i="2"/>
  <c r="D5" i="2" s="1"/>
  <c r="C4" i="2"/>
  <c r="B4" i="2"/>
  <c r="D4" i="2" s="1"/>
  <c r="D20" i="2" l="1"/>
  <c r="E20" i="2" s="1"/>
  <c r="E27" i="2" s="1"/>
</calcChain>
</file>

<file path=xl/sharedStrings.xml><?xml version="1.0" encoding="utf-8"?>
<sst xmlns="http://schemas.openxmlformats.org/spreadsheetml/2006/main" count="2420" uniqueCount="1043">
  <si>
    <t>Playlist Directory – every playlist, its teacher and uploader</t>
  </si>
  <si>
    <t>Titles, owners and video counts were read from YouTube. 'Instructor not named' = the playlist page only shows the channel. Individual video URLs could not be verified, so the day sheets use search links.</t>
  </si>
  <si>
    <t>Subject</t>
  </si>
  <si>
    <t>Role</t>
  </si>
  <si>
    <t>Playlist title</t>
  </si>
  <si>
    <t>Teacher / channel</t>
  </si>
  <si>
    <t>Uploaded by</t>
  </si>
  <si>
    <t>Videos</t>
  </si>
  <si>
    <t>Link</t>
  </si>
  <si>
    <t>C Programming</t>
  </si>
  <si>
    <t>Main</t>
  </si>
  <si>
    <t>C Programming | GATE 2024 | Vishvadeep Gothi Sir</t>
  </si>
  <si>
    <t>Vishvadeep Gothi Sir</t>
  </si>
  <si>
    <t>karthikeya pavan</t>
  </si>
  <si>
    <t>Open playlist ▶</t>
  </si>
  <si>
    <t>Revision / PYQ solutions</t>
  </si>
  <si>
    <t>Introduction to Programming in C - Satyadev Nandakumar | IIT Kanpur: NPTEL</t>
  </si>
  <si>
    <t>Satyadev Nandakumar (IIT Kanpur)</t>
  </si>
  <si>
    <t>Rahul Madhavan</t>
  </si>
  <si>
    <t>Data Structures</t>
  </si>
  <si>
    <t>Data Structures By Vishwadeep</t>
  </si>
  <si>
    <t>Vishwadeep Sir</t>
  </si>
  <si>
    <t>Kuldeep Siraswar (Kuldeep Saini)</t>
  </si>
  <si>
    <t>Data Structure: GATE PYQs | GATE/ESE 2022 | Vishvadeep Sir</t>
  </si>
  <si>
    <t>Vishvadeep Sir (Unacademy Computer Science)</t>
  </si>
  <si>
    <t>Unacademy Computer Science</t>
  </si>
  <si>
    <t>Extra / NPTEL</t>
  </si>
  <si>
    <t>Computer Sc - Data Structures and Algorithms (NPTEL)</t>
  </si>
  <si>
    <t>Dr. Naveen Garg, IIT Delhi</t>
  </si>
  <si>
    <t>nptelhrd</t>
  </si>
  <si>
    <t>Algorithms (DAA)</t>
  </si>
  <si>
    <t>DSA - Abdul Bari</t>
  </si>
  <si>
    <t>Abdul Bari</t>
  </si>
  <si>
    <t>Will Massey</t>
  </si>
  <si>
    <t>Algorithms - Revision, GATE PYQs Complete Analysis | GO Classes | Sachin Mittal</t>
  </si>
  <si>
    <t>Sachin Mittal (GO Classes)</t>
  </si>
  <si>
    <t>GO Classes for GATE CS</t>
  </si>
  <si>
    <t>Computer Sc - Design &amp; Analysis of Algorithms (NPTEL)</t>
  </si>
  <si>
    <t>Prof. Abhiram Ranade, IIT Bombay</t>
  </si>
  <si>
    <t>Compiler Design</t>
  </si>
  <si>
    <t>Compiler Design - GATE Computer Science Classes</t>
  </si>
  <si>
    <t>Prof. Ravindrababu Ravula</t>
  </si>
  <si>
    <t>Compiler Design (GO Classes – GATE PYQs &amp; revision)</t>
  </si>
  <si>
    <t>GO Classes for GATE CS (instructor not named in playlist)</t>
  </si>
  <si>
    <t>Compiler Design : Intermediate Code &amp; Code Optimization | Local Optimization | Dataflow Analysis | Liveness Analysis</t>
  </si>
  <si>
    <t>CS3300 Compiler Design (IIT Madras)</t>
  </si>
  <si>
    <t>Dr. Rupesh Nasre, IIT Madras</t>
  </si>
  <si>
    <t>CSE IIT Madras</t>
  </si>
  <si>
    <t>Operating Systems</t>
  </si>
  <si>
    <t>Operating System | GATE 2022 | Vishavdeep Sir</t>
  </si>
  <si>
    <t>Vishavdeep (Vishvadeep) Sir</t>
  </si>
  <si>
    <t>Operating Systems GATE PYQs, Revision Playlist</t>
  </si>
  <si>
    <t>Introduction to Operating Systems | IIT Madras (NPTEL)</t>
  </si>
  <si>
    <t>NPTEL-NOC IITM (instructor not named in playlist)</t>
  </si>
  <si>
    <t>NPTEL-NOC IITM</t>
  </si>
  <si>
    <t>Computer Networks</t>
  </si>
  <si>
    <t>Computer Networks (CN) for GATE — Complete Playlist</t>
  </si>
  <si>
    <t>Amit Khurana</t>
  </si>
  <si>
    <t>GATE CSE Lectures by Amit Khurana</t>
  </si>
  <si>
    <t>Computer Networks GATE PYQs, Revision Playlist</t>
  </si>
  <si>
    <t>Computer Networks and Internet Protocol (NPTEL IIT Kharagpur)</t>
  </si>
  <si>
    <t>NPTEL IIT Kharagpur (instructor not named in playlist)</t>
  </si>
  <si>
    <t>NPTEL IIT Kharagpur</t>
  </si>
  <si>
    <t>Engineering Maths</t>
  </si>
  <si>
    <t>Discrete – Logic</t>
  </si>
  <si>
    <t>Propositional Logic - Complete Summary, All GATE PYQs &amp; Practice Questions | Discrete Mathematics</t>
  </si>
  <si>
    <t>Discrete – Sets/Relations/Posets</t>
  </si>
  <si>
    <t>Set Theory - GATE PYQs, Summary, Practice, Revision | Discrete Mathematics</t>
  </si>
  <si>
    <t>Discrete – Groups</t>
  </si>
  <si>
    <t>Group Theory Complete Course - Abstract Algebra Course | Discrete Mathematics | Monoid, Groupoid, Semigroup, Abelian Group, Cyclic Group, Subgroup</t>
  </si>
  <si>
    <t>Discrete – Graphs</t>
  </si>
  <si>
    <t>Graph Theory Complete Course - Discrete Mathematics | Complete Graph Theory Course | GO Classes</t>
  </si>
  <si>
    <t>Discrete – Combinatorics &amp; GF</t>
  </si>
  <si>
    <t>Combinatorics Complete Course | Discrete Mathematics | Basic Counting Principles, Permutation &amp; Combination | Generating Function, Recurrence Relation</t>
  </si>
  <si>
    <t>Discrete – Recurrences</t>
  </si>
  <si>
    <t>Recurrence Relations in Discrete Mathematics | Complete Playlist | Applications of Recurrence Relations | GO Classes</t>
  </si>
  <si>
    <t>Linear Algebra</t>
  </si>
  <si>
    <t>Linear Algebra | GATE CSE Complete Course</t>
  </si>
  <si>
    <t>Probability &amp; Statistics</t>
  </si>
  <si>
    <t>Probability and Statistics for Engineering | GATE | gradeup</t>
  </si>
  <si>
    <t>Channel: Algorithm Unlocked (instructor not named in playlist)</t>
  </si>
  <si>
    <t>Algorithm Unlocked</t>
  </si>
  <si>
    <t>Statistics (NPTEL)</t>
  </si>
  <si>
    <t>Introduction to probability and Statistics (NPTEL)</t>
  </si>
  <si>
    <t>Calculus (NPTEL)</t>
  </si>
  <si>
    <t>Calculus of One Variable - Joydeep Das | IIT Kanpur - NPTEL</t>
  </si>
  <si>
    <t>Joydeep Das, IIT Kanpur</t>
  </si>
  <si>
    <t>(not shown)</t>
  </si>
  <si>
    <t>—</t>
  </si>
  <si>
    <t>Calculus (GO Classes)</t>
  </si>
  <si>
    <t>Calculus Complete Playlist | Engineering Mathematics</t>
  </si>
  <si>
    <t>Discrete – PYQ revision</t>
  </si>
  <si>
    <t>Discrete Mathematics – Revision &amp; PYQs video solutions (title not verified; from your resource PDF)</t>
  </si>
  <si>
    <t>Not verified</t>
  </si>
  <si>
    <t>(not verified)</t>
  </si>
  <si>
    <t>General Aptitude</t>
  </si>
  <si>
    <t>Aptitude – verbal</t>
  </si>
  <si>
    <t>GATE Overflow – verbal aptitude lessons</t>
  </si>
  <si>
    <t>GATE Overflow YouTube channel</t>
  </si>
  <si>
    <t>Aptitude – quant &amp; reasoning (Unacademy course, not YouTube; may need login)</t>
  </si>
  <si>
    <t>Complete Course on General Aptitude for GATE &amp; ESE 2025 &amp; 2026 (Unacademy)</t>
  </si>
  <si>
    <t>Saurabh Thakur</t>
  </si>
  <si>
    <t>Aptitude – resource video</t>
  </si>
  <si>
    <t>Aptitude resources, short notes &amp; list of topics (video from your resource PDF)</t>
  </si>
  <si>
    <t>as listed in your resource PDF</t>
  </si>
  <si>
    <t>GATE CSE 2027 – 12-Week Crash Plan (13 Oct → 31 Dec 2026)</t>
  </si>
  <si>
    <t>Goal: cover 6 of the 10 GATE sections by 31 Dec (Engineering Maths every day + 5 core subjects) while preparing for IPU end-terms. January = PYQs only.</t>
  </si>
  <si>
    <t>1. Key dates</t>
  </si>
  <si>
    <t>Practical exams (5th sem)</t>
  </si>
  <si>
    <t>26 Nov – 6 Dec 2026 (load reduced to 2.5 h/day)</t>
  </si>
  <si>
    <t>Theory exams (all 2–5 PM)</t>
  </si>
  <si>
    <t>15 Dec DAA (CIC-311) · 17 Dec Compiler Design (CIC-303) · 19 Dec OS (CIC-305) · 22 Dec Computer Networks (CIC-307) · 24 Dec Software Engineering (CIC-309) · 28 Dec Economics (HS-301)</t>
  </si>
  <si>
    <t>GATE 2027</t>
  </si>
  <si>
    <t>Early February 2027 (check the official IIT Madras date)</t>
  </si>
  <si>
    <t>2. How a day works (Mon–Sat)</t>
  </si>
  <si>
    <t>1. Easy start (15–20 min)</t>
  </si>
  <si>
    <t>Aptitude (15 of 100 GATE marks): 8–10 easy questions. Verbal topics → GATE Overflow verbal lessons; quant/reasoning → Saurabh Thakur's aptitude course (see Playlist Directory).</t>
  </si>
  <si>
    <t>2. ONE maths lecture (30–40 min)</t>
  </si>
  <si>
    <t>Exactly one Engineering Maths lecture a day: Discrete (22 days) → Linear Algebra (7) → Probability &amp; Statistics (12) → Calculus (9) → 2 PYQ days.</t>
  </si>
  <si>
    <t>3. Main subject lecture (55–75 min)</t>
  </si>
  <si>
    <t>The day's topic from the subject sheet. Watch at 1.25x–1.5x and make short notes.</t>
  </si>
  <si>
    <t>4. PYQ practice (20–45 min)</t>
  </si>
  <si>
    <t>PYQs on exactly that topic from GO-PDFs. Do not skip this.</t>
  </si>
  <si>
    <t>Ramp-up</t>
  </si>
  <si>
    <t>Week 1 (13–17 Oct) = 2 h/day, week 2 = 2.5 h/day, from 26 Oct = 3 h/day. Practical window = 2.5 h. Sundays = revision + timed test (subjects + maths).</t>
  </si>
  <si>
    <t>3. What's covered by 31 Dec (60% of sections)</t>
  </si>
  <si>
    <t>Included (6 sections)</t>
  </si>
  <si>
    <t>Engineering Maths (Discrete, Linear Algebra, Probability, Calculus), Programming &amp; Data Structures, Algorithms, Compiler Design, Operating System, Computer Networks. Four of these are your IPU subjects, so one session serves GATE and university.</t>
  </si>
  <si>
    <t>Not included (4 sections)</t>
  </si>
  <si>
    <t>Digital Logic, COA, Theory of Computation, Databases → January, using the PYQ video-solution playlists as your learning source.</t>
  </si>
  <si>
    <t>Order</t>
  </si>
  <si>
    <t>Subjects: C → DS → Algorithms → Compiler Design → OS → Networks, so each is learned before its university exam and revised Dec 11–22.</t>
  </si>
  <si>
    <t>4. Sheets in this workbook</t>
  </si>
  <si>
    <t>Progress</t>
  </si>
  <si>
    <t>Auto % complete per subject, maths and aptitude + overall GATE coverage.</t>
  </si>
  <si>
    <t>Master Planner</t>
  </si>
  <si>
    <t>Every day 13 Oct – 31 Dec: subject, maths lecture, time split.</t>
  </si>
  <si>
    <t>1–6 subject sheets</t>
  </si>
  <si>
    <t>Per day: main lecture (+ maths/aptitude shown for reference), playlist title · teacher (clickable), video search links, textbook, PYQs, and a Status for that subject only.</t>
  </si>
  <si>
    <t>7 Engineering Maths</t>
  </si>
  <si>
    <t>The 52 daily maths lectures with playlist, teacher, search links and its own Status.</t>
  </si>
  <si>
    <t>8 Aptitude</t>
  </si>
  <si>
    <t>Daily aptitude topics in 4 rounds (learn → practice → timed → full sets) with its own Status.</t>
  </si>
  <si>
    <t>Sunday Revision / Uni Exams &amp; Wrap-up</t>
  </si>
  <si>
    <t>Weekly revision with the week's topics auto-listed; Dec 11–31 exam prep and GATE recap.</t>
  </si>
  <si>
    <t>Playlist Directory</t>
  </si>
  <si>
    <t>Every playlist with title, teacher/channel, uploader, video count and link.</t>
  </si>
  <si>
    <t>5. Please read</t>
  </si>
  <si>
    <t>Video links</t>
  </si>
  <si>
    <t>YouTube does not let me read what is inside a playlist, so I could not verify an individual video URL for each topic and did not invent any. Instead every day has the verified playlist (title · teacher, clickable) plus a 'Search this lecture ▶' link that opens YouTube search for that exact topic with the teacher's name. If you paste a playlist's video titles into the chat, I can map each day to the exact video number.</t>
  </si>
  <si>
    <t>Teachers</t>
  </si>
  <si>
    <t>Names come from the playlist titles/owners. Where YouTube only shows a channel (e.g. GO Classes, NPTEL), that's what is written – no guessed names.</t>
  </si>
  <si>
    <t>Maths gaps</t>
  </si>
  <si>
    <t>Your PDF has no dedicated First-Order Logic, Relations, Functions or Posets/Lattices playlist. Days 4–5 and 7–11 use the closest listed playlists; the Notes column says what to search if a topic isn't there.</t>
  </si>
  <si>
    <t>Aptitude</t>
  </si>
  <si>
    <t>I verified GATE Overflow's verbal lessons (linked from GATE Overflow's own post) and Saurabh Thakur's aptitude course (Unacademy, not YouTube). I could not verify a YouTube quant playlist.</t>
  </si>
  <si>
    <t>Your subjects</t>
  </si>
  <si>
    <t>Confirmed: Software Engineering (CIC-309) is a subject this semester; DBMS is not, so it is left to January GATE study. Software Engineering and Economics syllabi were not shared, so Dec 23 &amp; Dec 25–27 use typical topics – replace with your IPU units.</t>
  </si>
  <si>
    <t>Time check</t>
  </si>
  <si>
    <t>Adding a daily maths lecture trimmed the main lecture to 75 min (at 1.5x ≈ 110 min of video). If a day overruns, finish the main lecture and push the maths lecture to the next day's slot; Sundays absorb the slack.</t>
  </si>
  <si>
    <t>Status</t>
  </si>
  <si>
    <t>Each subject has its own Status: subject sheets 1–6 track only that subject, sheet 7 tracks Maths, sheet 8 tracks Aptitude. Done = green, In Progress = yellow. Progress updates automatically.</t>
  </si>
  <si>
    <t>Late start (13 Oct)</t>
  </si>
  <si>
    <t>Plan now starts on Tue 13 Oct instead of Mon 12 Oct. Every lecture moved one study-day later; Sundays, practicals and university exam dates did not move. The one lecture that no longer fits before 10 Dec is moved: CN Day 8 (Application layer) → 21 Dec, and Maths M52 + Aptitude Day 52 → 29 Dec.</t>
  </si>
  <si>
    <t>Progress Tracker (auto-updates from Status columns)</t>
  </si>
  <si>
    <t>Sheet</t>
  </si>
  <si>
    <t>Total study days</t>
  </si>
  <si>
    <t>Days marked Done</t>
  </si>
  <si>
    <t>% complete</t>
  </si>
  <si>
    <t>Sunday revisions</t>
  </si>
  <si>
    <t>Uni exam prep &amp; wrap-up days</t>
  </si>
  <si>
    <t>GATE 2027 syllabus coverage (10 sections, each weighted equally)</t>
  </si>
  <si>
    <t>GATE section</t>
  </si>
  <si>
    <t>Weight (assumed)</t>
  </si>
  <si>
    <t>Covered in this plan?</t>
  </si>
  <si>
    <t>Contribution</t>
  </si>
  <si>
    <t>Engineering Mathematics</t>
  </si>
  <si>
    <t>Yes</t>
  </si>
  <si>
    <t>Digital Logic</t>
  </si>
  <si>
    <t>No – January (PYQs)</t>
  </si>
  <si>
    <t>Computer Organization &amp; Architecture</t>
  </si>
  <si>
    <t>Programming &amp; Data Structures</t>
  </si>
  <si>
    <t>Algorithms</t>
  </si>
  <si>
    <t>Theory of Computation</t>
  </si>
  <si>
    <t>Operating System</t>
  </si>
  <si>
    <t>Databases</t>
  </si>
  <si>
    <t>TOTAL GATE SYLLABUS COMPLETED</t>
  </si>
  <si>
    <t>Weights are an assumption (equal share per section; blue = editable). With daily maths, 6 of 10 sections are covered, so the ceiling by 31 Dec is 60%.</t>
  </si>
  <si>
    <t>Master Planner – 13 Oct to 31 Dec 2026 (every day)</t>
  </si>
  <si>
    <t>Read-only calendar. Tick progress in the subject sheets / Maths sheet (Status column).</t>
  </si>
  <si>
    <t>Date</t>
  </si>
  <si>
    <t>Day</t>
  </si>
  <si>
    <t>Type</t>
  </si>
  <si>
    <t>Main focus</t>
  </si>
  <si>
    <t>Maths lecture (1/day)</t>
  </si>
  <si>
    <t>Easy start (min)</t>
  </si>
  <si>
    <t>Maths (min)</t>
  </si>
  <si>
    <t>Main block (min)</t>
  </si>
  <si>
    <t>Practice / test (min)</t>
  </si>
  <si>
    <t>Total (hrs)</t>
  </si>
  <si>
    <t>Note</t>
  </si>
  <si>
    <t>GATE learning</t>
  </si>
  <si>
    <t>Day 1: Basics: data types, operators, precedence</t>
  </si>
  <si>
    <t>M1: Propositional logic I: propositions, connectives, truth tables</t>
  </si>
  <si>
    <t>Day 2: Control flow &amp; I/O</t>
  </si>
  <si>
    <t>M2: Propositional logic II: equivalences, tautology, normal forms</t>
  </si>
  <si>
    <t>Day 3: Functions, recursion &amp; storage classes</t>
  </si>
  <si>
    <t>M3: Propositional logic III: inference, validity, functional completeness</t>
  </si>
  <si>
    <t>Day 4: Arrays, strings &amp; pointer basics</t>
  </si>
  <si>
    <t>M4: First-order logic I: predicates &amp; quantifiers</t>
  </si>
  <si>
    <t>Day 5: Advanced pointers, structs, unions, malloc, macros</t>
  </si>
  <si>
    <t>M5: First-order logic II: translation &amp; nested quantifiers</t>
  </si>
  <si>
    <t>Weekly revision + test</t>
  </si>
  <si>
    <t>Revision</t>
  </si>
  <si>
    <t>Revise the week's topics (incl. maths), timed PYQ test, error log</t>
  </si>
  <si>
    <t>Maths revision inside the test</t>
  </si>
  <si>
    <t>Day 1: Arrays &amp; singly linked list</t>
  </si>
  <si>
    <t>M6: Sets: operations, power set, cardinality</t>
  </si>
  <si>
    <t>Day 2: Doubly/circular linked list &amp; stacks</t>
  </si>
  <si>
    <t>M7: Relations I: types &amp; representation</t>
  </si>
  <si>
    <t>Day 3: Expression conversion, queues &amp; deque</t>
  </si>
  <si>
    <t>M8: Relations II: equivalence relations, partitions, closures</t>
  </si>
  <si>
    <t>Day 4: Binary trees &amp; traversals</t>
  </si>
  <si>
    <t>M9: Functions: injective, surjective, bijective</t>
  </si>
  <si>
    <t>Day 5: BST &amp; AVL trees</t>
  </si>
  <si>
    <t>M10: Partial orders &amp; Hasse diagrams</t>
  </si>
  <si>
    <t>Day 6: Binary heaps &amp; priority queue</t>
  </si>
  <si>
    <t>M11: Lattices</t>
  </si>
  <si>
    <t>Day 7: Graph representation &amp; basic traversals</t>
  </si>
  <si>
    <t>M12: Monoids, semigroups &amp; groups</t>
  </si>
  <si>
    <t>Day 8: DS output-tracing &amp; complexity PYQs</t>
  </si>
  <si>
    <t>M13: Subgroups, cyclic groups &amp; Lagrange's theorem</t>
  </si>
  <si>
    <t>Day 9: DS full-topic test</t>
  </si>
  <si>
    <t>M14: Graph basics: degrees, handshake, special graphs</t>
  </si>
  <si>
    <t>GATE + Uni learning</t>
  </si>
  <si>
    <t>Day 1: Asymptotic notation &amp; complexity analysis</t>
  </si>
  <si>
    <t>M15: Connectivity</t>
  </si>
  <si>
    <t>Day 2: Recurrence relations</t>
  </si>
  <si>
    <t>M16: Trees, Euler &amp; Hamiltonian graphs</t>
  </si>
  <si>
    <t>Day 3: Searching &amp; basic sorting</t>
  </si>
  <si>
    <t>M17: Planar graphs &amp; matching</t>
  </si>
  <si>
    <t>Day 4: Merge, quick, heap sort &amp; lower bounds</t>
  </si>
  <si>
    <t>M18: Graph colouring</t>
  </si>
  <si>
    <t>Day 5: Hashing</t>
  </si>
  <si>
    <t>M19: Counting I: rules, permutations &amp; combinations</t>
  </si>
  <si>
    <t>Day 6: Divide &amp; conquer applications</t>
  </si>
  <si>
    <t>M20: Counting II: pigeonhole, inclusion-exclusion, stars &amp; bars</t>
  </si>
  <si>
    <t>Day 7: Greedy algorithms</t>
  </si>
  <si>
    <t>M21: Recurrence relations</t>
  </si>
  <si>
    <t>Day 8: Graph traversals</t>
  </si>
  <si>
    <t>M22: Generating functions</t>
  </si>
  <si>
    <t>Day 9: Minimum spanning trees &amp; union-find</t>
  </si>
  <si>
    <t>M23: Matrices: types &amp; operations</t>
  </si>
  <si>
    <t>Diwali (approx.) – light day: only error-log review</t>
  </si>
  <si>
    <t>Festival – keep it light</t>
  </si>
  <si>
    <t>Day 10: Shortest paths</t>
  </si>
  <si>
    <t>M24: Determinants</t>
  </si>
  <si>
    <t>Day 11: Dynamic programming I</t>
  </si>
  <si>
    <t>M25: Rank &amp; inverse</t>
  </si>
  <si>
    <t>Day 12: Dynamic programming II</t>
  </si>
  <si>
    <t>M26: Systems of linear equations</t>
  </si>
  <si>
    <t>Day 13: Uni-only: backtracking, branch &amp; bound, NP-completeness</t>
  </si>
  <si>
    <t>M27: Eigenvalues &amp; eigenvectors</t>
  </si>
  <si>
    <t>Day 1: Compiler phases &amp; lexical analysis</t>
  </si>
  <si>
    <t>M28: Eigen properties: Cayley-Hamilton &amp; diagonalisation</t>
  </si>
  <si>
    <t>Day 2: Parsing I: top-down &amp; LL(1)</t>
  </si>
  <si>
    <t>M29: LU decomposition + LA problem-solving</t>
  </si>
  <si>
    <t>Day 3: Parsing II: bottom-up, LR(0) &amp; SLR(1)</t>
  </si>
  <si>
    <t>M30: Probability basics</t>
  </si>
  <si>
    <t>Day 4: Parsing III: CLR(1), LALR(1), operator precedence</t>
  </si>
  <si>
    <t>M31: Conditional probability &amp; independence</t>
  </si>
  <si>
    <t>Day 5: Syntax-directed translation</t>
  </si>
  <si>
    <t>M32: Bayes' theorem &amp; total probability</t>
  </si>
  <si>
    <t>Day 6: Intermediate code &amp; runtime environments</t>
  </si>
  <si>
    <t>M33: Random variables: PMF, PDF, CDF</t>
  </si>
  <si>
    <t>Day 7: Code optimisation &amp; data-flow analysis</t>
  </si>
  <si>
    <t>M34: Expectation, variance &amp; standard deviation</t>
  </si>
  <si>
    <t>Day 1: OS basics, system calls &amp; processes</t>
  </si>
  <si>
    <t>M35: Binomial distribution</t>
  </si>
  <si>
    <t>Day 2: Threads &amp; inter-process communication</t>
  </si>
  <si>
    <t>M36: Poisson distribution</t>
  </si>
  <si>
    <t>Day 3: CPU scheduling I</t>
  </si>
  <si>
    <t>M37: Uniform distribution</t>
  </si>
  <si>
    <t>Day 4: CPU scheduling II</t>
  </si>
  <si>
    <t>M38: Exponential distribution</t>
  </si>
  <si>
    <t>Day 5: Process synchronisation I</t>
  </si>
  <si>
    <t>M39: Normal distribution</t>
  </si>
  <si>
    <t>Practical-exam window: lighter 2.5h load</t>
  </si>
  <si>
    <t>Day 6: Process synchronisation II</t>
  </si>
  <si>
    <t>M40: Statistics: mean, median, mode &amp; standard deviation</t>
  </si>
  <si>
    <t>Day 7: Deadlocks</t>
  </si>
  <si>
    <t>M41: Probability problem-solving: Bayes + distributions</t>
  </si>
  <si>
    <t>Day 8: Memory management: paging &amp; segmentation</t>
  </si>
  <si>
    <t>M42: Calculus: limits</t>
  </si>
  <si>
    <t>Day 9: Virtual memory</t>
  </si>
  <si>
    <t>M43: Calculus: continuity</t>
  </si>
  <si>
    <t>Day 10: File systems, disk scheduling &amp; I/O</t>
  </si>
  <si>
    <t>M44: Calculus: differentiability</t>
  </si>
  <si>
    <t>Day 1: Layering, switching &amp; performance metrics</t>
  </si>
  <si>
    <t>M45: Mean value theorems</t>
  </si>
  <si>
    <t>Day 2: Data link I: framing &amp; error detection</t>
  </si>
  <si>
    <t>M46: Maxima &amp; minima</t>
  </si>
  <si>
    <t>Day 3: Data link II: flow control &amp; ARQ</t>
  </si>
  <si>
    <t>M47: Integration I</t>
  </si>
  <si>
    <t>Weekly revision + SE starter (IPU syllabus &amp; PYQs)</t>
  </si>
  <si>
    <t>Day 4: MAC &amp; Ethernet</t>
  </si>
  <si>
    <t>M48: Integration II</t>
  </si>
  <si>
    <t>Day 5: Network layer I: IPv4, subnetting, CIDR, NAT</t>
  </si>
  <si>
    <t>M49: Integration III &amp; calculus revision</t>
  </si>
  <si>
    <t>Day 6: Network layer II: routing</t>
  </si>
  <si>
    <t>M50: Calculus problem-solving with PYQs</t>
  </si>
  <si>
    <t>Day 7: Transport layer: UDP, TCP &amp; sockets</t>
  </si>
  <si>
    <t>M51: Discrete Maths consolidation (PYQs)</t>
  </si>
  <si>
    <t>Uni revision</t>
  </si>
  <si>
    <t>DAA</t>
  </si>
  <si>
    <t>DAA revision I: recurrences, sorting, D&amp;C, hashing</t>
  </si>
  <si>
    <t>DAA revision II: greedy, DP, graph algorithms, NP/backtracking</t>
  </si>
  <si>
    <t>Uni revision (Sunday)</t>
  </si>
  <si>
    <t>DAA full timed mock paper</t>
  </si>
  <si>
    <t>DAA + CD</t>
  </si>
  <si>
    <t>DAA final polish + CD skim</t>
  </si>
  <si>
    <t>UNI EXAM – DAA (2-5 PM)</t>
  </si>
  <si>
    <t>EXAM DAY: CIC-311 Design &amp; Analysis of Algorithms</t>
  </si>
  <si>
    <t>Exam is 2-5 PM; only light revision in the morning</t>
  </si>
  <si>
    <t>CD</t>
  </si>
  <si>
    <t>CD full revision day</t>
  </si>
  <si>
    <t>UNI EXAM – CD (2-5 PM)</t>
  </si>
  <si>
    <t>EXAM DAY: CIC-303 Compiler Design</t>
  </si>
  <si>
    <t>OS</t>
  </si>
  <si>
    <t>OS full revision day</t>
  </si>
  <si>
    <t>UNI EXAM – OS (2-5 PM)</t>
  </si>
  <si>
    <t>EXAM DAY: CIC-305 Operating Systems</t>
  </si>
  <si>
    <t>CN</t>
  </si>
  <si>
    <t>CN revision I: numericals</t>
  </si>
  <si>
    <t>CN Day 8: Application layer (DNS, HTTP &amp; email) first, then CN revision II: theory + IPU paper</t>
  </si>
  <si>
    <t>Moved here from the original plan (late start). Only new topic = CN Day 8 – finish it first, then revise theory.</t>
  </si>
  <si>
    <t>UNI EXAM – CN (2-5 PM)</t>
  </si>
  <si>
    <t>EXAM DAY: CIC-307 Computer Networks</t>
  </si>
  <si>
    <t>Software Engg</t>
  </si>
  <si>
    <t>Software Engineering (CIC-309) full day</t>
  </si>
  <si>
    <t>UNI EXAM – SE (2-5 PM)</t>
  </si>
  <si>
    <t>EXAM DAY: CIC-309 Software Engineering</t>
  </si>
  <si>
    <t>Economics</t>
  </si>
  <si>
    <t>Economics for Engineering (HS-301) – day 1</t>
  </si>
  <si>
    <t>Economics for Engineering – day 2</t>
  </si>
  <si>
    <t>Economics – full paper + final revision</t>
  </si>
  <si>
    <t>UNI EXAM – Economics (2-5 PM)</t>
  </si>
  <si>
    <t>EXAM DAY: HS-301 Economics for Engineering</t>
  </si>
  <si>
    <t>GATE consolidation</t>
  </si>
  <si>
    <t>OS + CN + Discrete</t>
  </si>
  <si>
    <t>GATE recap I: OS + CN + Discrete Maths</t>
  </si>
  <si>
    <t>M52: LA + Probability + Calculus consolidation (PYQs) + maths revision</t>
  </si>
  <si>
    <t>Also today: Maths M52 (sheet 7) and Aptitude Day 52 (sheet 8), moved here from the original plan.</t>
  </si>
  <si>
    <t>Algo/DS/C/CD + LA/Prob/Calc</t>
  </si>
  <si>
    <t>GATE recap II: Algorithms, DS, C, CD + LA/Prob/Calc</t>
  </si>
  <si>
    <t>Maths revision (PYQs)</t>
  </si>
  <si>
    <t>All 6 covered sections</t>
  </si>
  <si>
    <t>Sectional mock + January plan</t>
  </si>
  <si>
    <t>Total hours</t>
  </si>
  <si>
    <t>Average hours per day</t>
  </si>
  <si>
    <t>Legend: orange = university exam day, green = Sunday revision</t>
  </si>
  <si>
    <t>C Programming – day-by-day plan</t>
  </si>
  <si>
    <t>GATE (foundation)  |  The STATUS column here tracks only THIS subject. Maths is tracked in sheet 7, Aptitude in sheet 8.</t>
  </si>
  <si>
    <t>Playlists &amp; teachers</t>
  </si>
  <si>
    <t>Main playlist</t>
  </si>
  <si>
    <t>C Programming | GATE 2024 | Vishvadeep Gothi Sir  ·  Vishvadeep Gothi Sir  [40 videos]</t>
  </si>
  <si>
    <t>Revision / PYQ playlist</t>
  </si>
  <si>
    <t>Introduction to Programming in C - Satyadev Nandakumar | IIT Kanpur: NPTEL  ·  Satyadev Nandakumar (IIT Kanpur)  [55 videos]</t>
  </si>
  <si>
    <t>Topic-wise PYQs</t>
  </si>
  <si>
    <t>GATE Overflow GO-PDFs (2025) → open 'Programming in C'</t>
  </si>
  <si>
    <t>Textbook</t>
  </si>
  <si>
    <t>K&amp;R – The C Programming Language (2E), ch 1-8</t>
  </si>
  <si>
    <t>Free tests</t>
  </si>
  <si>
    <t>GO2017 Programming 1</t>
  </si>
  <si>
    <t>GO Programming Test 2</t>
  </si>
  <si>
    <t>Programming GATE2020 PG-1</t>
  </si>
  <si>
    <t>Programming GATE2020 PG-2</t>
  </si>
  <si>
    <t>Day #</t>
  </si>
  <si>
    <t>Aptitude today (reference – track in sheet 8)</t>
  </si>
  <si>
    <t>MATHS lecture today (reference – track in sheet 7)</t>
  </si>
  <si>
    <t>Maths playlist · teacher (click)</t>
  </si>
  <si>
    <t>Maths video search ▶</t>
  </si>
  <si>
    <t>MAIN lecture topic</t>
  </si>
  <si>
    <t>What's covered</t>
  </si>
  <si>
    <t>Main playlist · teacher (click)</t>
  </si>
  <si>
    <t>Main video search ▶</t>
  </si>
  <si>
    <t>Also use today: PYQ / extra playlist · teacher (click)</t>
  </si>
  <si>
    <t>Practice (PYQs)</t>
  </si>
  <si>
    <t>Planned hrs (whole day)</t>
  </si>
  <si>
    <t>STATUS – this subject only</t>
  </si>
  <si>
    <t>Notes</t>
  </si>
  <si>
    <t>Aptitude: Percentages &amp; ratios – 8-10 easy Qs (15 min). Source: Complete Course on General Aptitude for GATE &amp; ESE 2025 &amp; 2026 (Unacademy)</t>
  </si>
  <si>
    <t>Day 1: Propositional logic I: propositions, connectives, truth tables</t>
  </si>
  <si>
    <t>Propositional Logic - Complete Summary, All GATE PYQs &amp; Practice Questions | Discrete Mathematics  ·  GO Classes for GATE CS (instructor not named in playlist)</t>
  </si>
  <si>
    <t>Search this lecture ▶</t>
  </si>
  <si>
    <t>Basics: data types, operators, precedence</t>
  </si>
  <si>
    <t>C program structure, data types &amp; sizes, variables, all operators (incl. bitwise, ++/-- tricks), precedence/associativity, implicit &amp; explicit type conversion.</t>
  </si>
  <si>
    <t>C Programming | GATE 2024 | Vishvadeep Gothi Sir  ·  Vishvadeep Gothi Sir</t>
  </si>
  <si>
    <t>Introduction to Programming in C - Satyadev Nandakumar | IIT Kanpur: NPTEL  ·  Satyadev Nandakumar (IIT Kanpur)</t>
  </si>
  <si>
    <t>K&amp;R ch 1-2</t>
  </si>
  <si>
    <t>GO-PDFs → Programming in C → Operators &amp; expressions / data types – 10 Qs (output tracing)</t>
  </si>
  <si>
    <t>Not Started</t>
  </si>
  <si>
    <t>Aptitude: Time &amp; work – 8-10 easy Qs (15 min). Source: Complete Course on General Aptitude for GATE &amp; ESE 2025 &amp; 2026 (Unacademy)</t>
  </si>
  <si>
    <t>Day 2: Propositional logic II: equivalences, tautology, normal forms</t>
  </si>
  <si>
    <t>Control flow &amp; I/O</t>
  </si>
  <si>
    <t>if/else, switch, loops, break/continue, printf/scanf format specifiers, tricky output questions.</t>
  </si>
  <si>
    <t>K&amp;R ch 3, 7.2-7.3</t>
  </si>
  <si>
    <t>GO-PDFs → Programming in C → Loops &amp; control flow output questions – 10 Qs</t>
  </si>
  <si>
    <t>Aptitude: Speed, time &amp; distance – 8-10 easy Qs (15 min). Source: Complete Course on General Aptitude for GATE &amp; ESE 2025 &amp; 2026 (Unacademy)</t>
  </si>
  <si>
    <t>Day 3: Propositional logic III: inference, validity, functional completeness</t>
  </si>
  <si>
    <t>Functions, recursion &amp; storage classes</t>
  </si>
  <si>
    <t>Function call/return, call by value, recursion (trace stack frames), scope, auto/static/extern/register.</t>
  </si>
  <si>
    <t>K&amp;R ch 4</t>
  </si>
  <si>
    <t>GO-PDFs → Programming in C → Recursion &amp; storage-class PYQs – 12 Qs</t>
  </si>
  <si>
    <t>Aptitude: Profit/loss &amp; averages – 8-10 easy Qs (15 min). Source: Complete Course on General Aptitude for GATE &amp; ESE 2025 &amp; 2026 (Unacademy)</t>
  </si>
  <si>
    <t>Day 4: First-order logic I: predicates &amp; quantifiers</t>
  </si>
  <si>
    <t>Arrays, strings &amp; pointer basics</t>
  </si>
  <si>
    <t>1-D/2-D arrays, row-major address calculation, strings &amp; string.h functions, pointer declaration, pointer arithmetic.</t>
  </si>
  <si>
    <t>K&amp;R ch 5.1-5.5</t>
  </si>
  <si>
    <t>GO-PDFs → Programming in C → Arrays &amp; pointers PYQs – 12 Qs</t>
  </si>
  <si>
    <t>If FOL isn't inside this playlist, search 'GO Classes first order logic' (not in your resource PDF).</t>
  </si>
  <si>
    <t>Aptitude: Number series &amp; sequences – 8-10 easy Qs (15 min). Source: Complete Course on General Aptitude for GATE &amp; ESE 2025 &amp; 2026 (Unacademy)</t>
  </si>
  <si>
    <t>Day 5: First-order logic II: translation &amp; nested quantifiers</t>
  </si>
  <si>
    <t>Advanced pointers, structs, unions, malloc, macros</t>
  </si>
  <si>
    <t>Pointer-to-pointer, array of pointers, function pointers, struct/union sizes &amp; padding, malloc/calloc/free, #define macros pitfalls.</t>
  </si>
  <si>
    <t>K&amp;R ch 5.6-5.12, 6</t>
  </si>
  <si>
    <t>GO-PDFs → Programming in C → Pointers/structs PYQs – 15 Qs + full C topic recap</t>
  </si>
  <si>
    <t>Same note as day 4.</t>
  </si>
  <si>
    <t>Total planned hours</t>
  </si>
  <si>
    <t>Data Structures – day-by-day plan</t>
  </si>
  <si>
    <t>Data Structures By Vishwadeep  ·  Vishwadeep Sir  [40 videos]</t>
  </si>
  <si>
    <t>Data Structure: GATE PYQs | GATE/ESE 2022 | Vishvadeep Sir  ·  Vishvadeep Sir (Unacademy Computer Science)  [23 videos]</t>
  </si>
  <si>
    <t>More</t>
  </si>
  <si>
    <t>Computer Sc - Data Structures and Algorithms (NPTEL)  ·  Dr. Naveen Garg, IIT Delhi  [36 videos]</t>
  </si>
  <si>
    <t>GATE Overflow GO-PDFs (2025) → open 'Data Structures'</t>
  </si>
  <si>
    <t>Karumanchi – Data Structures &amp; Algorithms Made Easy (chapter names given per day)</t>
  </si>
  <si>
    <t>Data Structure Set 2</t>
  </si>
  <si>
    <t>DS GATE2020 PG-1</t>
  </si>
  <si>
    <t>DS GATE2020 PG-2</t>
  </si>
  <si>
    <t>DS GATE2020 PG-3</t>
  </si>
  <si>
    <t>DS GATE2020 PG-4</t>
  </si>
  <si>
    <t>Aptitude: Basic counting &amp; probability (aptitude level) – 8-10 easy Qs (20 min). Source: Complete Course on General Aptitude for GATE &amp; ESE 2025 &amp; 2026 (Unacademy)</t>
  </si>
  <si>
    <t>Day 6: Sets: operations, power set, cardinality</t>
  </si>
  <si>
    <t>Set Theory - GATE PYQs, Summary, Practice, Revision | Discrete Mathematics  ·  GO Classes for GATE CS (instructor not named in playlist)</t>
  </si>
  <si>
    <t>Arrays &amp; singly linked list</t>
  </si>
  <si>
    <t>Array operations &amp; complexity, singly linked list: insert/delete/search/reverse, find middle, detect loop.</t>
  </si>
  <si>
    <t>Data Structures By Vishwadeep  ·  Vishwadeep Sir</t>
  </si>
  <si>
    <t>Data Structure: GATE PYQs | GATE/ESE 2022 | Vishvadeep Sir  ·  Vishvadeep Sir (Unacademy Computer Science)</t>
  </si>
  <si>
    <t>Karumanchi: Linked Lists</t>
  </si>
  <si>
    <t>GO-PDFs → Data Structures → Linked list PYQs – 10 Qs</t>
  </si>
  <si>
    <t>Aptitude: Data interpretation (tables, bar charts) – 8-10 easy Qs (20 min). Source: Complete Course on General Aptitude for GATE &amp; ESE 2025 &amp; 2026 (Unacademy)</t>
  </si>
  <si>
    <t>Day 7: Relations I: types &amp; representation</t>
  </si>
  <si>
    <t>Doubly/circular linked list &amp; stacks</t>
  </si>
  <si>
    <t>Doubly &amp; circular LL, stack (array &amp; LL), push/pop, stack applications.</t>
  </si>
  <si>
    <t>Karumanchi: Linked Lists, Stacks</t>
  </si>
  <si>
    <t>GO-PDFs → Data Structures → Stack &amp; LL PYQs – 10 Qs</t>
  </si>
  <si>
    <t>Closest playlist from your PDF; if relations aren't covered, search 'GO Classes relations discrete mathematics'.</t>
  </si>
  <si>
    <t>Aptitude: Verbal: tenses &amp; subject-verb agreement – 8-10 easy Qs (20 min). Source: GATE Overflow – verbal aptitude lessons</t>
  </si>
  <si>
    <t>Day 8: Relations II: equivalence relations, partitions, closures</t>
  </si>
  <si>
    <t>Expression conversion, queues &amp; deque</t>
  </si>
  <si>
    <t>Infix/postfix/prefix conversion &amp; evaluation, queue, circular queue, deque, stack using queues &amp; queue using stacks.</t>
  </si>
  <si>
    <t>Karumanchi: Stacks, Queues</t>
  </si>
  <si>
    <t>GO-PDFs → Data Structures → Stack/Queue PYQs – 12 Qs</t>
  </si>
  <si>
    <t>Same note as day 7.</t>
  </si>
  <si>
    <t>Aptitude: Verbal: sentence completion &amp; prepositions – 8-10 easy Qs (20 min). Source: GATE Overflow – verbal aptitude lessons</t>
  </si>
  <si>
    <t>Day 9: Functions: injective, surjective, bijective</t>
  </si>
  <si>
    <t>Binary trees &amp; traversals</t>
  </si>
  <si>
    <t>Tree terminology, binary tree properties (nodes/height), in/pre/post/level-order, construct tree from two traversals, number of trees (Catalan).</t>
  </si>
  <si>
    <t>Karumanchi: Trees</t>
  </si>
  <si>
    <t>GO-PDFs → Data Structures → Binary tree PYQs – 12 Qs</t>
  </si>
  <si>
    <t>Aptitude: Verbal: synonyms, antonyms &amp; idioms – 8-10 easy Qs (20 min). Source: GATE Overflow – verbal aptitude lessons</t>
  </si>
  <si>
    <t>Day 10: Partial orders &amp; Hasse diagrams</t>
  </si>
  <si>
    <t>BST &amp; AVL trees</t>
  </si>
  <si>
    <t>BST insert/delete/search, inorder = sorted, height-balanced AVL trees &amp; rotations, min/max nodes in AVL.</t>
  </si>
  <si>
    <t>Karumanchi: Trees (BST, AVL)</t>
  </si>
  <si>
    <t>GO-PDFs → Data Structures → BST/AVL PYQs – 12 Qs</t>
  </si>
  <si>
    <t>Aptitude: Reading comprehension (1 passage) – 8-10 easy Qs (20 min). Source: GATE Overflow – verbal aptitude lessons</t>
  </si>
  <si>
    <t>Day 11: Lattices</t>
  </si>
  <si>
    <t>Binary heaps &amp; priority queue</t>
  </si>
  <si>
    <t>Heap property, insert/delete-min, heapify, build-heap O(n), heap sort idea, priority queue.</t>
  </si>
  <si>
    <t>Karumanchi: Priority Queues &amp; Heaps</t>
  </si>
  <si>
    <t>GO-PDFs → Data Structures → Heap PYQs – 10 Qs</t>
  </si>
  <si>
    <t>Aptitude: Para-jumbles &amp; sentence ordering – 8-10 easy Qs (20 min). Source: GATE Overflow – verbal aptitude lessons</t>
  </si>
  <si>
    <t>Day 12: Monoids, semigroups &amp; groups</t>
  </si>
  <si>
    <t>Group Theory Complete Course - Abstract Algebra Course | Discrete Mathematics | Monoid, Groupoid, Semigroup, Abelian Group, Cyclic Group, Subgroup  ·  GO Classes for GATE CS (instructor not named in playlist)</t>
  </si>
  <si>
    <t>Graph representation &amp; basic traversals</t>
  </si>
  <si>
    <t>Directed/undirected graphs, adjacency matrix vs list, degree, paths/cycles, BFS/DFS first look (full treatment in Algorithms).</t>
  </si>
  <si>
    <t>Karumanchi: Graph Algorithms (intro)</t>
  </si>
  <si>
    <t>GO-PDFs → Data Structures → Graph basics PYQs – 10 Qs</t>
  </si>
  <si>
    <t>Aptitude: Logical reasoning: arrangements &amp; puzzles – 8-10 easy Qs (20 min). Source: Complete Course on General Aptitude for GATE &amp; ESE 2025 &amp; 2026 (Unacademy)</t>
  </si>
  <si>
    <t>Day 13: Subgroups, cyclic groups &amp; Lagrange's theorem</t>
  </si>
  <si>
    <t>DS output-tracing &amp; complexity PYQs</t>
  </si>
  <si>
    <t>Mixed code-tracing on LL/stack/queue/tree; time complexity of operations (table of all structures).</t>
  </si>
  <si>
    <t>GO-PDFs → Data Structures → Mixed DS PYQs – 20 Qs; build a complexity cheat-table</t>
  </si>
  <si>
    <t>Aptitude: Spatial reasoning: paper folding, cubes, patterns – 8-10 easy Qs (20 min). Source: Complete Course on General Aptitude for GATE &amp; ESE 2025 &amp; 2026 (Unacademy)</t>
  </si>
  <si>
    <t>Day 14: Graph basics: degrees, handshake, special graphs</t>
  </si>
  <si>
    <t>Graph Theory Complete Course - Discrete Mathematics | Complete Graph Theory Course | GO Classes  ·  GO Classes for GATE CS (instructor not named in playlist)</t>
  </si>
  <si>
    <t>DS full-topic test</t>
  </si>
  <si>
    <t>Timed mini-test over entire DS, then fix errors with video solutions.</t>
  </si>
  <si>
    <t>GO-PDFs → Data Structures → Attempt 'Data Structure Set 2' or a GATE2020 DS test (timed 45 min)</t>
  </si>
  <si>
    <t>Algorithms (DAA) – day-by-day plan</t>
  </si>
  <si>
    <t>GATE + Uni (CIC-311 DAA, 15 Dec)  |  The STATUS column here tracks only THIS subject. Maths is tracked in sheet 7, Aptitude in sheet 8.</t>
  </si>
  <si>
    <t>DSA - Abdul Bari  ·  Abdul Bari  [163 videos]</t>
  </si>
  <si>
    <t>Algorithms - Revision, GATE PYQs Complete Analysis | GO Classes | Sachin Mittal  ·  Sachin Mittal (GO Classes)  [18 videos]</t>
  </si>
  <si>
    <t>Computer Sc - Design &amp; Analysis of Algorithms (NPTEL)  ·  Prof. Abhiram Ranade, IIT Bombay  [34 videos]</t>
  </si>
  <si>
    <t>GATE Overflow GO-PDFs (2025) → open 'Algorithms'</t>
  </si>
  <si>
    <t>CLRS (3E) – chapters given per day; Kleinberg-Tardos ch 1-6 optional</t>
  </si>
  <si>
    <t>GO2017 Algorithms 1</t>
  </si>
  <si>
    <t>Algorithm Test 2</t>
  </si>
  <si>
    <t>Algorithms Previous GATE 1</t>
  </si>
  <si>
    <t>Algorithms GATE2020 PG-1</t>
  </si>
  <si>
    <t>Algorithms GATE2020 PG-2</t>
  </si>
  <si>
    <t>Aptitude: Percentages &amp; ratios – 8-10 easy Qs (20 min). Source: Complete Course on General Aptitude for GATE &amp; ESE 2025 &amp; 2026 (Unacademy)</t>
  </si>
  <si>
    <t>Day 15: Connectivity</t>
  </si>
  <si>
    <t>Asymptotic notation &amp; complexity analysis</t>
  </si>
  <si>
    <t>Big-O/Omega/Theta, growth-rate ordering, time &amp; space complexity, analysing loops and nested loops.</t>
  </si>
  <si>
    <t>DSA - Abdul Bari  ·  Abdul Bari</t>
  </si>
  <si>
    <t>Algorithms - Revision, GATE PYQs Complete Analysis | GO Classes | Sachin Mittal  ·  Sachin Mittal (GO Classes)</t>
  </si>
  <si>
    <t>CLRS ch 1, 2, 3</t>
  </si>
  <si>
    <t>GO-PDFs → Algorithms → Asymptotic analysis PYQs – 12 Qs</t>
  </si>
  <si>
    <t>Aptitude: Time &amp; work – 8-10 easy Qs (20 min). Source: Complete Course on General Aptitude for GATE &amp; ESE 2025 &amp; 2026 (Unacademy)</t>
  </si>
  <si>
    <t>Day 16: Trees, Euler &amp; Hamiltonian graphs</t>
  </si>
  <si>
    <t>Recurrence relations</t>
  </si>
  <si>
    <t>Substitution, recursion tree, Master theorem (all 3 cases + gaps), recurrences of recursive algorithms.</t>
  </si>
  <si>
    <t>CLRS ch 4</t>
  </si>
  <si>
    <t>GO-PDFs → Algorithms → Recurrence PYQs – 12 Qs</t>
  </si>
  <si>
    <t>Aptitude: Speed, time &amp; distance – 8-10 easy Qs (20 min). Source: Complete Course on General Aptitude for GATE &amp; ESE 2025 &amp; 2026 (Unacademy)</t>
  </si>
  <si>
    <t>Day 17: Planar graphs &amp; matching</t>
  </si>
  <si>
    <t>Searching &amp; basic sorting</t>
  </si>
  <si>
    <t>Linear/binary search, bubble, selection, insertion sort; stability, in-place, best/worst cases, inversions.</t>
  </si>
  <si>
    <t>CLRS ch 2</t>
  </si>
  <si>
    <t>GO-PDFs → Algorithms → Sorting PYQs (basic) – 10 Qs</t>
  </si>
  <si>
    <t>Aptitude: Profit/loss &amp; averages – 8-10 easy Qs (20 min). Source: Complete Course on General Aptitude for GATE &amp; ESE 2025 &amp; 2026 (Unacademy)</t>
  </si>
  <si>
    <t>Day 18: Graph colouring</t>
  </si>
  <si>
    <t>Merge, quick, heap sort &amp; lower bounds</t>
  </si>
  <si>
    <t>Merge sort, quick sort (partition, worst case, randomized), heap sort, counting/radix/bucket sort, Omega(n log n) bound.</t>
  </si>
  <si>
    <t>CLRS ch 6, 7, 8</t>
  </si>
  <si>
    <t>GO-PDFs → Algorithms → Sorting PYQs (advanced) – 15 Qs</t>
  </si>
  <si>
    <t>Aptitude: Number series &amp; sequences – 8-10 easy Qs (20 min). Source: Complete Course on General Aptitude for GATE &amp; ESE 2025 &amp; 2026 (Unacademy)</t>
  </si>
  <si>
    <t>Day 19: Counting I: rules, permutations &amp; combinations</t>
  </si>
  <si>
    <t>Combinatorics Complete Course | Discrete Mathematics | Basic Counting Principles, Permutation &amp; Combination | Generating Function, Recurrence Relation  ·  GO Classes for GATE CS (instructor not named in playlist)</t>
  </si>
  <si>
    <t>Hashing</t>
  </si>
  <si>
    <t>Hash functions, chaining, open addressing (linear, quadratic, double), load factor, expected probes, insertion order questions.</t>
  </si>
  <si>
    <t>CLRS ch 11.1-11.4</t>
  </si>
  <si>
    <t>GO-PDFs → Algorithms → Hashing PYQs – 12 Qs</t>
  </si>
  <si>
    <t>Day 20: Counting II: pigeonhole, inclusion-exclusion, stars &amp; bars</t>
  </si>
  <si>
    <t>Divide &amp; conquer applications</t>
  </si>
  <si>
    <t>D&amp;C paradigm, min-max finding, Strassen matrix multiplication, closest pair, comparison of D&amp;C recurrences.</t>
  </si>
  <si>
    <t>CLRS ch 4.2, 9</t>
  </si>
  <si>
    <t>GO-PDFs → Algorithms → D&amp;C PYQs – 10 Qs</t>
  </si>
  <si>
    <t>Day 21: Recurrence relations</t>
  </si>
  <si>
    <t>Recurrence Relations in Discrete Mathematics | Complete Playlist | Applications of Recurrence Relations | GO Classes  ·  GO Classes for GATE CS (instructor not named in playlist)</t>
  </si>
  <si>
    <t>Greedy algorithms</t>
  </si>
  <si>
    <t>Greedy choice property, fractional knapsack, activity selection, job sequencing with deadlines, Huffman coding.</t>
  </si>
  <si>
    <t>CLRS ch 16.1-16.3</t>
  </si>
  <si>
    <t>GO-PDFs → Algorithms → Greedy PYQs – 12 Qs</t>
  </si>
  <si>
    <t>Day 22: Generating functions</t>
  </si>
  <si>
    <t>Graph traversals</t>
  </si>
  <si>
    <t>BFS, DFS, edge classification, topological sort, strongly connected components, applications.</t>
  </si>
  <si>
    <t>CLRS ch 22.1-22.5</t>
  </si>
  <si>
    <t>GO-PDFs → Algorithms → Graph traversal PYQs – 12 Qs</t>
  </si>
  <si>
    <t>Generating-function videos sit near the end of this long playlist.</t>
  </si>
  <si>
    <t>Day 23: Matrices: types &amp; operations</t>
  </si>
  <si>
    <t>Linear Algebra | GATE CSE Complete Course  ·  GO Classes for GATE CS (instructor not named in playlist)</t>
  </si>
  <si>
    <t>Minimum spanning trees &amp; union-find</t>
  </si>
  <si>
    <t>Cut property, Kruskal, Prim, union-find with path compression, number of MSTs, uniqueness conditions.</t>
  </si>
  <si>
    <t>CLRS ch 21, 23</t>
  </si>
  <si>
    <t>GO-PDFs → Algorithms → MST PYQs – 12 Qs</t>
  </si>
  <si>
    <t>Day 24: Determinants</t>
  </si>
  <si>
    <t>Shortest paths</t>
  </si>
  <si>
    <t>Dijkstra, Bellman-Ford, Floyd-Warshall, negative edges/cycles, complexity with different data structures.</t>
  </si>
  <si>
    <t>CLRS ch 24, 25.2</t>
  </si>
  <si>
    <t>GO-PDFs → Algorithms → Shortest-path PYQs – 12 Qs</t>
  </si>
  <si>
    <t>Day 25: Rank &amp; inverse</t>
  </si>
  <si>
    <t>Dynamic programming I</t>
  </si>
  <si>
    <t>DP idea (overlapping subproblems, optimal substructure), LCS, LIS, matrix-chain multiplication.</t>
  </si>
  <si>
    <t>CLRS ch 15</t>
  </si>
  <si>
    <t>GO-PDFs → Algorithms → DP PYQs (part 1) – 10 Qs</t>
  </si>
  <si>
    <t>Day 26: Systems of linear equations</t>
  </si>
  <si>
    <t>Dynamic programming II</t>
  </si>
  <si>
    <t>0/1 knapsack, coin change, edit distance, subset sum, rod cutting, DP vs greedy.</t>
  </si>
  <si>
    <t>GO-PDFs → Algorithms → DP PYQs (part 2) – 12 Qs</t>
  </si>
  <si>
    <t>Day 27: Eigenvalues &amp; eigenvectors</t>
  </si>
  <si>
    <t>Uni-only: backtracking, branch &amp; bound, NP-completeness</t>
  </si>
  <si>
    <t>Not in GATE 2027 syllabus but likely in your IPU DAA paper: N-Queens, graph colouring, branch &amp; bound, P/NP/NP-complete, reductions (SAT, vertex cover).</t>
  </si>
  <si>
    <t>CLRS ch 34 (overview)</t>
  </si>
  <si>
    <t>GO-PDFs → Algorithms → Collect last 3 yrs IPU DAA papers; solve the NP/backtracking questions</t>
  </si>
  <si>
    <t>Compiler Design – day-by-day plan</t>
  </si>
  <si>
    <t>GATE + Uni (CIC-303 CD, 17 Dec)  |  The STATUS column here tracks only THIS subject. Maths is tracked in sheet 7, Aptitude in sheet 8.</t>
  </si>
  <si>
    <t>Compiler Design - GATE Computer Science Classes  ·  Prof. Ravindrababu Ravula  [49 videos]</t>
  </si>
  <si>
    <t>Compiler Design (GO Classes – GATE PYQs &amp; revision)  ·  GO Classes for GATE CS (instructor not named in playlist)  [22 videos]</t>
  </si>
  <si>
    <t>Compiler Design : Intermediate Code &amp; Code Optimization | Local Optimization | Dataflow Analysis | Liveness Analysis  ·  GO Classes for GATE CS (instructor not named in playlist)  [10 videos]</t>
  </si>
  <si>
    <t>CS3300 Compiler Design (IIT Madras)  ·  Dr. Rupesh Nasre, IIT Madras  [48 videos]</t>
  </si>
  <si>
    <t>GATE Overflow GO-PDFs (2025) → open 'Compiler Design'</t>
  </si>
  <si>
    <t>Dragon Book (Aho, Lam, Sethi, Ullman, 2E) – chapters given per day</t>
  </si>
  <si>
    <t>GO2019 Compiler 1 – Parsing</t>
  </si>
  <si>
    <t>Compilers GATE2020 PG-1</t>
  </si>
  <si>
    <t>Compilers GATE2020 PG-2</t>
  </si>
  <si>
    <t>Compilers GATE2020 PG-3</t>
  </si>
  <si>
    <t>Day 28: Eigen properties: Cayley-Hamilton &amp; diagonalisation</t>
  </si>
  <si>
    <t>Compiler phases &amp; lexical analysis</t>
  </si>
  <si>
    <t>Phases of a compiler, tokens/lexemes/patterns, regex to DFA recap, lexical errors, symbol table, lex tool.</t>
  </si>
  <si>
    <t>Compiler Design - GATE Computer Science Classes  ·  Prof. Ravindrababu Ravula</t>
  </si>
  <si>
    <t>Compiler Design (GO Classes – GATE PYQs &amp; revision)  ·  GO Classes for GATE CS (instructor not named in playlist)</t>
  </si>
  <si>
    <t>Dragon ch 1, 3</t>
  </si>
  <si>
    <t>GO-PDFs → Compiler Design → Lexical analysis PYQs – 10 Qs</t>
  </si>
  <si>
    <t>Day 29: LU decomposition + LA problem-solving</t>
  </si>
  <si>
    <t>Parsing I: top-down &amp; LL(1)</t>
  </si>
  <si>
    <t>CFG recap, ambiguity, left recursion elimination, left factoring, FIRST &amp; FOLLOW, LL(1) table construction.</t>
  </si>
  <si>
    <t>Dragon ch 4.1-4.4</t>
  </si>
  <si>
    <t>GO-PDFs → Compiler Design → FIRST/FOLLOW &amp; LL(1) PYQs – 15 Qs</t>
  </si>
  <si>
    <t>Finish with 8-10 LA PYQs.</t>
  </si>
  <si>
    <t>Day 30: Probability basics</t>
  </si>
  <si>
    <t>Probability and Statistics for Engineering | GATE | gradeup  ·  Channel: Algorithm Unlocked (instructor not named in playlist)</t>
  </si>
  <si>
    <t>Parsing II: bottom-up, LR(0) &amp; SLR(1)</t>
  </si>
  <si>
    <t>Shift-reduce parsing, handles, LR items, closure/goto, LR(0) and SLR(1) tables and conflicts.</t>
  </si>
  <si>
    <t>Dragon ch 4.5-4.6</t>
  </si>
  <si>
    <t>GO-PDFs → Compiler Design → LR(0)/SLR PYQs – 12 Qs</t>
  </si>
  <si>
    <t>Day 31: Conditional probability &amp; independence</t>
  </si>
  <si>
    <t>Parsing III: CLR(1), LALR(1), operator precedence</t>
  </si>
  <si>
    <t>CLR(1) items, LALR(1) merging, parser power hierarchy, SR/RR conflicts, operator-precedence parsing (uni).</t>
  </si>
  <si>
    <t>Dragon ch 4.7-4.8</t>
  </si>
  <si>
    <t>GO-PDFs → Compiler Design → CLR/LALR PYQs – 12 Qs</t>
  </si>
  <si>
    <t>Day 32: Bayes' theorem &amp; total probability</t>
  </si>
  <si>
    <t>Syntax-directed translation</t>
  </si>
  <si>
    <t>SDD &amp; SDT, synthesized vs inherited attributes, S-attributed &amp; L-attributed, dependency graph, evaluation order.</t>
  </si>
  <si>
    <t>Dragon ch 5</t>
  </si>
  <si>
    <t>GO-PDFs → Compiler Design → SDT PYQs – 10 Qs</t>
  </si>
  <si>
    <t>Day 33: Random variables: PMF, PDF, CDF</t>
  </si>
  <si>
    <t>Intermediate code &amp; runtime environments</t>
  </si>
  <si>
    <t>Three-address code, quadruples/triples, DAG, backpatching; activation records, stack/heap allocation, parameter passing, scope.</t>
  </si>
  <si>
    <t>Compiler Design : Intermediate Code &amp; Code Optimization | Local Optimization | Dataflow Analysis | Liveness Analysis  ·  GO Classes for GATE CS (instructor not named in playlist)  +  Compiler Design (GO Classes – GATE PYQs &amp; revision)  ·  GO Classes for GATE CS (instructor not named in playlist)</t>
  </si>
  <si>
    <t>Dragon ch 6, 7</t>
  </si>
  <si>
    <t>GO-PDFs → Compiler Design → ICG &amp; runtime PYQs – 12 Qs</t>
  </si>
  <si>
    <t>Day 34: Expectation, variance &amp; standard deviation</t>
  </si>
  <si>
    <t>Code optimisation &amp; data-flow analysis</t>
  </si>
  <si>
    <t>Basic blocks &amp; flow graph, local optimisation, constant propagation, liveness analysis, common-subexpression elimination, GEN/KILL.</t>
  </si>
  <si>
    <t>Dragon ch 8.4-8.5, 9.1-9.2</t>
  </si>
  <si>
    <t>GO-PDFs → Compiler Design → Optimisation PYQs – 12 Qs + full CD recap</t>
  </si>
  <si>
    <t>Operating Systems – day-by-day plan</t>
  </si>
  <si>
    <t>GATE + Uni (CIC-305 OS, 19 Dec)  |  The STATUS column here tracks only THIS subject. Maths is tracked in sheet 7, Aptitude in sheet 8.</t>
  </si>
  <si>
    <t>Operating System | GATE 2022 | Vishavdeep Sir  ·  Vishavdeep (Vishvadeep) Sir  [62 videos]</t>
  </si>
  <si>
    <t>Operating Systems GATE PYQs, Revision Playlist  ·  GO Classes for GATE CS (instructor not named in playlist)  [11 videos]</t>
  </si>
  <si>
    <t>Introduction to Operating Systems | IIT Madras (NPTEL)  ·  NPTEL-NOC IITM (instructor not named in playlist)  [39 videos]</t>
  </si>
  <si>
    <t>GATE Overflow GO-PDFs (2025) → open 'Operating System'</t>
  </si>
  <si>
    <t>Silberschatz, Galvin, Gagne – Operating System Concepts (9E)</t>
  </si>
  <si>
    <t>GO2017 OS 1</t>
  </si>
  <si>
    <t>GO2017 OS 2</t>
  </si>
  <si>
    <t>GO2017 OS 3</t>
  </si>
  <si>
    <t>OS GATE2020 Previous GATE 2</t>
  </si>
  <si>
    <t>Day 35: Binomial distribution</t>
  </si>
  <si>
    <t>OS basics, system calls &amp; processes</t>
  </si>
  <si>
    <t>OS functions &amp; types, kernel/user mode, system calls, process concept, PCB, states, context switch, fork() output questions.</t>
  </si>
  <si>
    <t>Operating System | GATE 2022 | Vishavdeep Sir  ·  Vishavdeep (Vishvadeep) Sir</t>
  </si>
  <si>
    <t>Operating Systems GATE PYQs, Revision Playlist  ·  GO Classes for GATE CS (instructor not named in playlist)</t>
  </si>
  <si>
    <t>Silberschatz ch 2.1-2.5, 3</t>
  </si>
  <si>
    <t>GO-PDFs → Operating System → fork()/process PYQs – 10 Qs</t>
  </si>
  <si>
    <t>Day 36: Poisson distribution</t>
  </si>
  <si>
    <t>Threads &amp; inter-process communication</t>
  </si>
  <si>
    <t>User vs kernel threads, multithreading models, pthreads, IPC: shared memory, message passing, pipes.</t>
  </si>
  <si>
    <t>Silberschatz ch 4.1-4.3, 4.6; ch 3 (IPC)</t>
  </si>
  <si>
    <t>GO-PDFs → Operating System → Threads/IPC PYQs – 10 Qs</t>
  </si>
  <si>
    <t>Day 37: Uniform distribution</t>
  </si>
  <si>
    <t>CPU scheduling I</t>
  </si>
  <si>
    <t>Scheduling criteria; FCFS, SJF, SRTF, priority; Gantt charts, waiting/turnaround time, convoy effect, starvation.</t>
  </si>
  <si>
    <t>Silberschatz ch 5.1-5.3</t>
  </si>
  <si>
    <t>GO-PDFs → Operating System → FCFS/SJF/SRTF numericals – 12 Qs</t>
  </si>
  <si>
    <t>Day 38: Exponential distribution</t>
  </si>
  <si>
    <t>CPU scheduling II</t>
  </si>
  <si>
    <t>Round robin (time quantum effects), multilevel queue &amp; feedback queue, mixed numericals with I/O bursts.</t>
  </si>
  <si>
    <t>Silberschatz ch 5</t>
  </si>
  <si>
    <t>GO-PDFs → Operating System → RR/MLFQ numericals – 12 Qs</t>
  </si>
  <si>
    <t>Day 39: Normal distribution</t>
  </si>
  <si>
    <t>Process synchronisation I</t>
  </si>
  <si>
    <t>Race condition, critical-section requirements, Peterson, Test-and-Set, mutex, semaphores (binary/counting).</t>
  </si>
  <si>
    <t>Silberschatz ch 6.1-6.6</t>
  </si>
  <si>
    <t>GO-PDFs → Operating System → Critical section &amp; semaphore PYQs – 12 Qs</t>
  </si>
  <si>
    <t>Day 40: Statistics: mean, median, mode &amp; standard deviation</t>
  </si>
  <si>
    <t>Introduction to probability and Statistics (NPTEL)  ·  NPTEL-NOC IITM (instructor not named in playlist)</t>
  </si>
  <si>
    <t>Process synchronisation II</t>
  </si>
  <si>
    <t>Producer-consumer, readers-writers, dining philosophers, monitors; semaphore code-tracing questions.</t>
  </si>
  <si>
    <t>Silberschatz ch 6.7-6.10</t>
  </si>
  <si>
    <t>GO-PDFs → Operating System → Classical sync problem PYQs – 12 Qs</t>
  </si>
  <si>
    <t>Day 41: Probability problem-solving: Bayes + distributions</t>
  </si>
  <si>
    <t>Deadlocks</t>
  </si>
  <si>
    <t>Four necessary conditions, resource-allocation graph, prevention, avoidance (Banker's algorithm), detection, recovery.</t>
  </si>
  <si>
    <t>Silberschatz ch 7</t>
  </si>
  <si>
    <t>GO-PDFs → Operating System → Banker's/deadlock PYQs – 12 Qs</t>
  </si>
  <si>
    <t>Spend most of today on PYQs.</t>
  </si>
  <si>
    <t>Day 42: Calculus: limits</t>
  </si>
  <si>
    <t>Calculus of One Variable - Joydeep Das | IIT Kanpur - NPTEL  ·  Joydeep Das, IIT Kanpur</t>
  </si>
  <si>
    <t>Memory management: paging &amp; segmentation</t>
  </si>
  <si>
    <t>Contiguous allocation, fragmentation, paging, page table size, TLB &amp; effective access time, segmentation, multilevel paging.</t>
  </si>
  <si>
    <t>Silberschatz ch 8.1-8.6</t>
  </si>
  <si>
    <t>GO-PDFs → Operating System → Paging/TLB/EAT numericals – 15 Qs</t>
  </si>
  <si>
    <t>Day 43: Calculus: continuity</t>
  </si>
  <si>
    <t>Virtual memory</t>
  </si>
  <si>
    <t>Demand paging, page faults, FIFO/LRU/Optimal replacement, Belady's anomaly, thrashing, working set, effective access time with faults.</t>
  </si>
  <si>
    <t>Silberschatz ch 9.1-9.6, 9.9</t>
  </si>
  <si>
    <t>GO-PDFs → Operating System → Page replacement &amp; VM PYQs – 15 Qs</t>
  </si>
  <si>
    <t>Day 44: Calculus: differentiability</t>
  </si>
  <si>
    <t>File systems, disk scheduling &amp; I/O</t>
  </si>
  <si>
    <t>File concept, directory structure, allocation (contiguous/linked/indexed/inode), free-space mgmt, disk scheduling (FCFS, SSTF, SCAN, C-SCAN, LOOK), I/O.</t>
  </si>
  <si>
    <t>Silberschatz ch 10, 11.1-11.5, 12.1-12.6</t>
  </si>
  <si>
    <t>GO-PDFs → Operating System → File system &amp; disk-scheduling PYQs – 12 Qs + full OS recap</t>
  </si>
  <si>
    <t>Computer Networks – day-by-day plan</t>
  </si>
  <si>
    <t>GATE + Uni (CIC-307 CN, 22 Dec)  |  The STATUS column here tracks only THIS subject. Maths is tracked in sheet 7, Aptitude in sheet 8.</t>
  </si>
  <si>
    <t>Computer Networks (CN) for GATE — Complete Playlist  ·  Amit Khurana  [202 videos]</t>
  </si>
  <si>
    <t>Computer Networks GATE PYQs, Revision Playlist  ·  GO Classes for GATE CS (instructor not named in playlist)  [23 videos]</t>
  </si>
  <si>
    <t>Computer Networks and Internet Protocol (NPTEL IIT Kharagpur)  ·  NPTEL IIT Kharagpur (instructor not named in playlist)  [61 videos]</t>
  </si>
  <si>
    <t>GATE Overflow GO-PDFs (2025) → open 'Computer Network'</t>
  </si>
  <si>
    <t>Forouzan – Data Communications &amp; Networking (5E); chapter numbers as listed in your resource PDF</t>
  </si>
  <si>
    <t>Computer Networks (GO)</t>
  </si>
  <si>
    <t>CN GATE2020 PG-1</t>
  </si>
  <si>
    <t>CN GATE2020 PG-2</t>
  </si>
  <si>
    <t>Day 45: Mean value theorems</t>
  </si>
  <si>
    <t>Layering, switching &amp; performance metrics</t>
  </si>
  <si>
    <t>OSI vs TCP/IP layers, circuit/packet/virtual-circuit switching, transmission/propagation/queuing delay, throughput, bandwidth-delay product.</t>
  </si>
  <si>
    <t>Computer Networks (CN) for GATE — Complete Playlist  ·  Amit Khurana</t>
  </si>
  <si>
    <t>Computer Networks GATE PYQs, Revision Playlist  ·  GO Classes for GATE CS (instructor not named in playlist)</t>
  </si>
  <si>
    <t>Forouzan ch 1.1-1.3, 2, 3.6, 8</t>
  </si>
  <si>
    <t>GO-PDFs → Computer Network → Layering &amp; delay numericals – 10 Qs</t>
  </si>
  <si>
    <t>Day 46: Maxima &amp; minima</t>
  </si>
  <si>
    <t>Data link I: framing &amp; error detection</t>
  </si>
  <si>
    <t>Framing, parity, checksum, CRC (polynomial division), Hamming code and distance.</t>
  </si>
  <si>
    <t>Forouzan ch 10</t>
  </si>
  <si>
    <t>GO-PDFs → Computer Network → CRC/checksum/Hamming PYQs – 12 Qs</t>
  </si>
  <si>
    <t>Day 47: Integration I</t>
  </si>
  <si>
    <t>Data link II: flow control &amp; ARQ</t>
  </si>
  <si>
    <t>Stop-and-wait, Go-Back-N, Selective Repeat, window sizes, sequence-number bits, link efficiency/utilisation.</t>
  </si>
  <si>
    <t>Forouzan ch 11.1-11.2</t>
  </si>
  <si>
    <t>GO-PDFs → Computer Network → Sliding-window &amp; efficiency numericals – 15 Qs</t>
  </si>
  <si>
    <t>Day 48: Integration II</t>
  </si>
  <si>
    <t>MAC &amp; Ethernet</t>
  </si>
  <si>
    <t>Pure/slotted ALOHA, CSMA, CSMA/CD, minimum frame size, Ethernet frame, hubs/bridges/switches, VLAN overview.</t>
  </si>
  <si>
    <t>Forouzan ch 12, 13.1-13.2</t>
  </si>
  <si>
    <t>GO-PDFs → Computer Network → ALOHA/CSMA-CD PYQs – 12 Qs</t>
  </si>
  <si>
    <t>Day 49: Integration III &amp; calculus revision</t>
  </si>
  <si>
    <t>Calculus Complete Playlist | Engineering Mathematics  ·  GO Classes for GATE CS (instructor not named in playlist)</t>
  </si>
  <si>
    <t>Network layer I: IPv4, subnetting, CIDR, NAT</t>
  </si>
  <si>
    <t>IPv4 classes, subnetting &amp; VLSM, CIDR aggregation, NAT, fragmentation (MTU/offset), ARP, ICMP, DHCP.</t>
  </si>
  <si>
    <t>Forouzan ch 18-19.2</t>
  </si>
  <si>
    <t>GO-PDFs → Computer Network → Subnetting/CIDR/fragmentation PYQs – 15 Qs</t>
  </si>
  <si>
    <t>Day 50: Calculus problem-solving with PYQs</t>
  </si>
  <si>
    <t>Network layer II: routing</t>
  </si>
  <si>
    <t>Distance-vector (Bellman-Ford, count-to-infinity), link-state (Dijkstra), RIP/OSPF/BGP, intra vs inter-domain (IPv6 basics for uni).</t>
  </si>
  <si>
    <t>Forouzan ch 20-21.2</t>
  </si>
  <si>
    <t>GO-PDFs → Computer Network → Routing PYQs – 12 Qs</t>
  </si>
  <si>
    <t>Day 51: Discrete Maths consolidation (PYQs)</t>
  </si>
  <si>
    <t>Discrete Mathematics – Revision &amp; PYQs video solutions (title not verified; from your resource PDF)  ·  Not verified</t>
  </si>
  <si>
    <t>Transport layer: UDP, TCP &amp; sockets</t>
  </si>
  <si>
    <t>UDP, TCP segment, 3-way handshake &amp; teardown, TCP flow control, congestion control (slow start, AIMD, fast retransmit), timeouts, socket API.</t>
  </si>
  <si>
    <t>Forouzan ch 23-24.3</t>
  </si>
  <si>
    <t>GO-PDFs → Computer Network → TCP congestion/flow-control PYQs – 15 Qs</t>
  </si>
  <si>
    <t>Open the PYQ video solutions and attempt each question first.</t>
  </si>
  <si>
    <t>Aptitude: none today – Day 52 is scheduled on 29 Dec (see sheet 8).</t>
  </si>
  <si>
    <t>Maths: none today – Day 52 (M52) is scheduled on 29 Dec (see sheet 7).</t>
  </si>
  <si>
    <t>Application layer: DNS, HTTP &amp; security basics</t>
  </si>
  <si>
    <t>DNS hierarchy &amp; resolution, HTTP persistent/non-persistent, SMTP/FTP/POP, cookies; (uni: basic cryptography &amp; firewalls).</t>
  </si>
  <si>
    <t>Forouzan ch 25.1-25.2, 26</t>
  </si>
  <si>
    <t>GO-PDFs → Computer Network → DNS/HTTP PYQs – 10 Qs + full CN recap</t>
  </si>
  <si>
    <t>Moved to 21 Dec because of the late start. Finish this lecture first, then do the CN theory revision.</t>
  </si>
  <si>
    <t>Engineering Mathematics – exactly ONE lecture per day (13 Oct – 29 Dec)</t>
  </si>
  <si>
    <t>Order: Discrete Maths (22 days) → Linear Algebra (7) → Probability &amp; Statistics (12) → Calculus (9) → PYQ consolidation (2). Dec 29-30 revisit maths in the wrap-up sheet.</t>
  </si>
  <si>
    <t>Lecture topic</t>
  </si>
  <si>
    <t>Playlist · teacher (click)</t>
  </si>
  <si>
    <t>Video search ▶</t>
  </si>
  <si>
    <t>Subject studied the same day</t>
  </si>
  <si>
    <t>Quick practice</t>
  </si>
  <si>
    <t>Planned min</t>
  </si>
  <si>
    <t>Propositional logic I: propositions, connectives, truth tables</t>
  </si>
  <si>
    <t>Propositions, AND/OR/NOT/IMPLIES/IFF, truth tables, converse/inverse/contrapositive.</t>
  </si>
  <si>
    <t>C Programming (Day 1)</t>
  </si>
  <si>
    <t>GO-PDFs → Discrete Maths PYQs: 5-8 Qs (inside today's practice block)</t>
  </si>
  <si>
    <t>Propositional logic II: equivalences, tautology, normal forms</t>
  </si>
  <si>
    <t>Logical equivalences, tautology/contradiction, CNF/DNF, simplification.</t>
  </si>
  <si>
    <t>C Programming (Day 2)</t>
  </si>
  <si>
    <t>Propositional logic III: inference, validity, functional completeness</t>
  </si>
  <si>
    <t>Rules of inference, validity of arguments, satisfiability, NAND/NOR completeness.</t>
  </si>
  <si>
    <t>C Programming (Day 3)</t>
  </si>
  <si>
    <t>First-order logic I: predicates &amp; quantifiers</t>
  </si>
  <si>
    <t>Predicates, universal/existential quantifiers, free/bound variables.</t>
  </si>
  <si>
    <t>C Programming (Day 4)</t>
  </si>
  <si>
    <t>First-order logic II: translation &amp; nested quantifiers</t>
  </si>
  <si>
    <t>English ↔ FOL, nested quantifiers, quantifier negation, validity.</t>
  </si>
  <si>
    <t>C Programming (Day 5)</t>
  </si>
  <si>
    <t>Sets: operations, power set, cardinality</t>
  </si>
  <si>
    <t>Set algebra, Venn diagrams, power set, inclusion-exclusion for sets.</t>
  </si>
  <si>
    <t>Data Structures (Day 1)</t>
  </si>
  <si>
    <t>Relations I: types &amp; representation</t>
  </si>
  <si>
    <t>Relation as set of pairs, reflexive/symmetric/antisymmetric/transitive, matrix form, composition.</t>
  </si>
  <si>
    <t>Data Structures (Day 2)</t>
  </si>
  <si>
    <t>Relations II: equivalence relations, partitions, closures</t>
  </si>
  <si>
    <t>Equivalence classes, partitions, counting relations, reflexive/symmetric/transitive closure.</t>
  </si>
  <si>
    <t>Data Structures (Day 3)</t>
  </si>
  <si>
    <t>Functions: injective, surjective, bijective</t>
  </si>
  <si>
    <t>One-one/onto/bijection, counting functions, composition, inverse, pigeonhole link.</t>
  </si>
  <si>
    <t>Data Structures (Day 4)</t>
  </si>
  <si>
    <t>Partial orders &amp; Hasse diagrams</t>
  </si>
  <si>
    <t>Poset, Hasse diagram, chains/antichains, maximal/minimal/greatest/least elements.</t>
  </si>
  <si>
    <t>Data Structures (Day 5)</t>
  </si>
  <si>
    <t>Lattices</t>
  </si>
  <si>
    <t>LUB/GLB, lattice properties, distributive &amp; complemented lattices, Boolean lattices.</t>
  </si>
  <si>
    <t>Data Structures (Day 6)</t>
  </si>
  <si>
    <t>Monoids, semigroups &amp; groups</t>
  </si>
  <si>
    <t>Closure/associativity, identity/inverse, semigroup → monoid → group, abelian groups.</t>
  </si>
  <si>
    <t>Data Structures (Day 7)</t>
  </si>
  <si>
    <t>Subgroups, cyclic groups &amp; Lagrange's theorem</t>
  </si>
  <si>
    <t>Subgroup tests, cyclic groups, order of elements, Lagrange's theorem, generators.</t>
  </si>
  <si>
    <t>Data Structures (Day 8)</t>
  </si>
  <si>
    <t>Graph basics: degrees, handshake, special graphs</t>
  </si>
  <si>
    <t>Degree sequences, handshake lemma, complete/bipartite/regular graphs, isomorphism.</t>
  </si>
  <si>
    <t>Data Structures (Day 9)</t>
  </si>
  <si>
    <t>Connectivity</t>
  </si>
  <si>
    <t>Walks/paths/cycles, connected components, cut vertices &amp; bridges, k-connectivity.</t>
  </si>
  <si>
    <t>Algorithms (DAA) (Day 1)</t>
  </si>
  <si>
    <t>Trees, Euler &amp; Hamiltonian graphs</t>
  </si>
  <si>
    <t>Tree properties, spanning trees count, Euler path/circuit, Hamiltonian conditions.</t>
  </si>
  <si>
    <t>Algorithms (DAA) (Day 2)</t>
  </si>
  <si>
    <t>Planar graphs &amp; matching</t>
  </si>
  <si>
    <t>Euler's formula, planarity (Kuratowski), matchings, Hall's theorem.</t>
  </si>
  <si>
    <t>Algorithms (DAA) (Day 3)</t>
  </si>
  <si>
    <t>Graph colouring</t>
  </si>
  <si>
    <t>Chromatic number, bipartite test, cliques &amp; independent sets, colouring bounds.</t>
  </si>
  <si>
    <t>Algorithms (DAA) (Day 4)</t>
  </si>
  <si>
    <t>Counting I: rules, permutations &amp; combinations</t>
  </si>
  <si>
    <t>Sum/product rule, permutations, combinations, circular arrangements, repetition.</t>
  </si>
  <si>
    <t>Algorithms (DAA) (Day 5)</t>
  </si>
  <si>
    <t>Counting II: pigeonhole, inclusion-exclusion, stars &amp; bars</t>
  </si>
  <si>
    <t>Pigeonhole principle, inclusion-exclusion, derangements, distributing objects.</t>
  </si>
  <si>
    <t>Algorithms (DAA) (Day 6)</t>
  </si>
  <si>
    <t>Linear homogeneous &amp; non-homogeneous recurrences, characteristic equation, solving &amp; applications.</t>
  </si>
  <si>
    <t>Algorithms (DAA) (Day 7)</t>
  </si>
  <si>
    <t>Generating functions</t>
  </si>
  <si>
    <t>Ordinary generating functions, coefficient extraction, use for counting and recurrences.</t>
  </si>
  <si>
    <t>Algorithms (DAA) (Day 8)</t>
  </si>
  <si>
    <t>Matrices: types &amp; operations</t>
  </si>
  <si>
    <t>Matrix types, transpose, symmetric/skew, orthogonal, idempotent, multiplication.</t>
  </si>
  <si>
    <t>Algorithms (DAA) (Day 9)</t>
  </si>
  <si>
    <t>GO-PDFs → Linear Algebra PYQs: 5-8 Qs (inside today's practice block)</t>
  </si>
  <si>
    <t>Determinants</t>
  </si>
  <si>
    <t>Properties, expansion, row operations, determinant of special matrices.</t>
  </si>
  <si>
    <t>Algorithms (DAA) (Day 10)</t>
  </si>
  <si>
    <t>Rank &amp; inverse</t>
  </si>
  <si>
    <t>Rank via echelon form, inverse (adjoint &amp; row ops), rank-nullity basics.</t>
  </si>
  <si>
    <t>Algorithms (DAA) (Day 11)</t>
  </si>
  <si>
    <t>Systems of linear equations</t>
  </si>
  <si>
    <t>Consistency, unique/infinite/no solutions, Gaussian elimination, homogeneous systems.</t>
  </si>
  <si>
    <t>Algorithms (DAA) (Day 12)</t>
  </si>
  <si>
    <t>Eigenvalues &amp; eigenvectors</t>
  </si>
  <si>
    <t>Characteristic polynomial, computing eigenvalues/vectors, trace/determinant relations.</t>
  </si>
  <si>
    <t>Algorithms (DAA) (Day 13)</t>
  </si>
  <si>
    <t>Eigen properties: Cayley-Hamilton &amp; diagonalisation</t>
  </si>
  <si>
    <t>Cayley-Hamilton theorem, diagonalisation, eigenvalues of special matrices.</t>
  </si>
  <si>
    <t>Compiler Design (Day 1)</t>
  </si>
  <si>
    <t>LU decomposition + LA problem-solving</t>
  </si>
  <si>
    <t>LU decomposition, solving systems with LU, mixed LA problems.</t>
  </si>
  <si>
    <t>Compiler Design (Day 2)</t>
  </si>
  <si>
    <t>Probability basics</t>
  </si>
  <si>
    <t>Sample space, axioms, equally likely outcomes, counting-based probability.</t>
  </si>
  <si>
    <t>Compiler Design (Day 3)</t>
  </si>
  <si>
    <t>GO-PDFs → Probability PYQs: 5-8 Qs (inside today's practice block)</t>
  </si>
  <si>
    <t>Conditional probability &amp; independence</t>
  </si>
  <si>
    <t>Conditional probability, multiplication rule, independent events.</t>
  </si>
  <si>
    <t>Compiler Design (Day 4)</t>
  </si>
  <si>
    <t>Bayes' theorem &amp; total probability</t>
  </si>
  <si>
    <t>Total probability, Bayes' theorem, typical GATE problems.</t>
  </si>
  <si>
    <t>Compiler Design (Day 5)</t>
  </si>
  <si>
    <t>Random variables: PMF, PDF, CDF</t>
  </si>
  <si>
    <t>Discrete vs continuous RVs, PMF/PDF/CDF, computing probabilities.</t>
  </si>
  <si>
    <t>Compiler Design (Day 6)</t>
  </si>
  <si>
    <t>Expectation, variance &amp; standard deviation</t>
  </si>
  <si>
    <t>E[X], Var(X), properties, linearity of expectation.</t>
  </si>
  <si>
    <t>Compiler Design (Day 7)</t>
  </si>
  <si>
    <t>Binomial distribution</t>
  </si>
  <si>
    <t>Bernoulli trials, binomial mean/variance, applications.</t>
  </si>
  <si>
    <t>Operating Systems (Day 1)</t>
  </si>
  <si>
    <t>Poisson distribution</t>
  </si>
  <si>
    <t>Poisson PMF, mean=variance, Poisson approximation to binomial.</t>
  </si>
  <si>
    <t>Operating Systems (Day 2)</t>
  </si>
  <si>
    <t>Uniform distribution</t>
  </si>
  <si>
    <t>Discrete &amp; continuous uniform, mean, variance, probability from area.</t>
  </si>
  <si>
    <t>Operating Systems (Day 3)</t>
  </si>
  <si>
    <t>Exponential distribution</t>
  </si>
  <si>
    <t>Exponential PDF/CDF, memoryless property, mean &amp; variance.</t>
  </si>
  <si>
    <t>Operating Systems (Day 4)</t>
  </si>
  <si>
    <t>Normal distribution</t>
  </si>
  <si>
    <t>Normal PDF, standard normal, z-scores, properties.</t>
  </si>
  <si>
    <t>Operating Systems (Day 5)</t>
  </si>
  <si>
    <t>Statistics: mean, median, mode &amp; standard deviation</t>
  </si>
  <si>
    <t>Measures of central tendency &amp; spread, grouped data.</t>
  </si>
  <si>
    <t>Operating Systems (Day 6)</t>
  </si>
  <si>
    <t>Probability problem-solving: Bayes + distributions</t>
  </si>
  <si>
    <t>Mixed set of GATE-style questions across the probability chapter.</t>
  </si>
  <si>
    <t>Operating Systems (Day 7)</t>
  </si>
  <si>
    <t>Calculus: limits</t>
  </si>
  <si>
    <t>Limit laws, standard limits, L'Hôpital's rule, indeterminate forms.</t>
  </si>
  <si>
    <t>Operating Systems (Day 8)</t>
  </si>
  <si>
    <t>GO-PDFs → Calculus PYQs: 5-8 Qs (inside today's practice block)</t>
  </si>
  <si>
    <t>Calculus: continuity</t>
  </si>
  <si>
    <t>Continuity at a point/interval, types of discontinuity, intermediate value theorem.</t>
  </si>
  <si>
    <t>Operating Systems (Day 9)</t>
  </si>
  <si>
    <t>Calculus: differentiability</t>
  </si>
  <si>
    <t>Derivative definition, differentiability vs continuity, chain/product rules.</t>
  </si>
  <si>
    <t>Operating Systems (Day 10)</t>
  </si>
  <si>
    <t>Mean value theorems</t>
  </si>
  <si>
    <t>Rolle's theorem, Lagrange's MVT, applications.</t>
  </si>
  <si>
    <t>Computer Networks (Day 1)</t>
  </si>
  <si>
    <t>Maxima &amp; minima</t>
  </si>
  <si>
    <t>Critical points, first/second derivative tests, optimisation.</t>
  </si>
  <si>
    <t>Computer Networks (Day 2)</t>
  </si>
  <si>
    <t>Integration I</t>
  </si>
  <si>
    <t>Indefinite integrals, substitution, integration by parts.</t>
  </si>
  <si>
    <t>Computer Networks (Day 3)</t>
  </si>
  <si>
    <t>Integration II</t>
  </si>
  <si>
    <t>Definite integrals, properties, area under curve.</t>
  </si>
  <si>
    <t>Computer Networks (Day 4)</t>
  </si>
  <si>
    <t>Integration III &amp; calculus revision</t>
  </si>
  <si>
    <t>Improper integrals, applications; revise limits/continuity.</t>
  </si>
  <si>
    <t>Computer Networks (Day 5)</t>
  </si>
  <si>
    <t>Calculus problem-solving with PYQs</t>
  </si>
  <si>
    <t>GO Classes calculus videos + calculus PYQs.</t>
  </si>
  <si>
    <t>Computer Networks (Day 6)</t>
  </si>
  <si>
    <t>Discrete Maths consolidation (PYQs)</t>
  </si>
  <si>
    <t>Mixed discrete PYQs: logic, sets, relations, groups, graphs, combinatorics.</t>
  </si>
  <si>
    <t>Computer Networks (Day 7)</t>
  </si>
  <si>
    <t>Timed PYQ set (use GO-PDFs / GO tests)</t>
  </si>
  <si>
    <t>LA + Probability + Calculus consolidation (PYQs)</t>
  </si>
  <si>
    <t>Mixed PYQs for the three remaining maths areas; fix weak spots.</t>
  </si>
  <si>
    <t>GATE recap day (29 Dec); CN Day 8 itself is on 21 Dec</t>
  </si>
  <si>
    <t>Use GO-PDFs topicwise PYQs for LA, Probability, Calculus.</t>
  </si>
  <si>
    <t>Total planned minutes</t>
  </si>
  <si>
    <t>General Aptitude – daily 15-20 min warm-up (13 Oct – 29 Dec)</t>
  </si>
  <si>
    <t>Own status per day. 14 topics in 4 rounds: Round 1 = learn each topic, Round 2 = mixed practice, Round 3 = timed 10 Qs, Round 4 = full GA-style sets.</t>
  </si>
  <si>
    <t>Sources</t>
  </si>
  <si>
    <t>Verbal</t>
  </si>
  <si>
    <t>GATE Overflow – verbal aptitude lessons  ·  GATE Overflow YouTube channel</t>
  </si>
  <si>
    <t>Quant &amp; reasoning</t>
  </si>
  <si>
    <t>Complete Course on General Aptitude for GATE &amp; ESE 2025 &amp; 2026 (Unacademy)  ·  Saurabh Thakur</t>
  </si>
  <si>
    <t>Resource video</t>
  </si>
  <si>
    <t>Aptitude resources, short notes &amp; list of topics (video from your resource PDF)  ·  as listed in your resource PDF</t>
  </si>
  <si>
    <t>GO Classes 2025 Monthly Quiz 1 – GA</t>
  </si>
  <si>
    <t>GO Classes Monthly Quiz 2 – GA</t>
  </si>
  <si>
    <t>GO Classes Monthly Quiz 3 – GA</t>
  </si>
  <si>
    <t>GO2017 Aptitude 1</t>
  </si>
  <si>
    <t>General Aptitude Set 2</t>
  </si>
  <si>
    <t>Round</t>
  </si>
  <si>
    <t>Topic</t>
  </si>
  <si>
    <t>What to do</t>
  </si>
  <si>
    <t>Source (click)</t>
  </si>
  <si>
    <t>STATUS – aptitude only</t>
  </si>
  <si>
    <t>Round 1</t>
  </si>
  <si>
    <t>Percentages &amp; ratios</t>
  </si>
  <si>
    <t>Learn: watch/skim the concept, note 2-3 tricks, solve 8-10 easy questions.</t>
  </si>
  <si>
    <t>Search this topic ▶</t>
  </si>
  <si>
    <t>Time &amp; work</t>
  </si>
  <si>
    <t>Speed, time &amp; distance</t>
  </si>
  <si>
    <t>Profit/loss &amp; averages</t>
  </si>
  <si>
    <t>Number series &amp; sequences</t>
  </si>
  <si>
    <t>Basic counting &amp; probability (aptitude level)</t>
  </si>
  <si>
    <t>Data interpretation (tables, bar charts)</t>
  </si>
  <si>
    <t>Verbal: tenses &amp; subject-verb agreement</t>
  </si>
  <si>
    <t>Verbal: sentence completion &amp; prepositions</t>
  </si>
  <si>
    <t>Verbal: synonyms, antonyms &amp; idioms</t>
  </si>
  <si>
    <t>Reading comprehension (1 passage)</t>
  </si>
  <si>
    <t>Para-jumbles &amp; sentence ordering</t>
  </si>
  <si>
    <t>Logical reasoning: arrangements &amp; puzzles</t>
  </si>
  <si>
    <t>Spatial reasoning: paper folding, cubes, patterns</t>
  </si>
  <si>
    <t>Round 2</t>
  </si>
  <si>
    <t>Practice: 10 mixed GATE-level questions on this topic (GO tests / PYQs).</t>
  </si>
  <si>
    <t>Round 3</t>
  </si>
  <si>
    <t>Timed: 10 questions in 12 minutes; log mistakes.</t>
  </si>
  <si>
    <t>Round 4</t>
  </si>
  <si>
    <t>Full GA-style set: 10 mixed questions in 15 minutes from a GO aptitude test.</t>
  </si>
  <si>
    <t>Sunday Revision &amp; Test (Oct 18 – Dec 6)</t>
  </si>
  <si>
    <t>Sundays in Dec after the 6th are in 'Uni Exams &amp; Wrap-up'. Format: 30 min notes → 90 min timed test (25 subject Qs + 10 maths Qs) → 60 min error log &amp; redo.</t>
  </si>
  <si>
    <t>What to revise (last week's topics)</t>
  </si>
  <si>
    <t>Task 1: Notes (30 min)</t>
  </si>
  <si>
    <t>Task 2: Timed test (90 min)</t>
  </si>
  <si>
    <t>Task 3: Error log + redo (60 min)</t>
  </si>
  <si>
    <t>Planned hrs</t>
  </si>
  <si>
    <t>Subjects: C Programming D1 (Basics: data types, operators, precedence); C Programming D2 (Control flow &amp; I/O); C Programming D3 (Functions, recursion &amp; storage classes); C Programming D4 (Arrays, strings &amp; pointer basics); C Programming D5 (Advanced pointers, structs, unions, malloc, macros)
Maths: Propositional logic I; Propositional logic II; Propositional logic III; First-order logic I; First-order logic II</t>
  </si>
  <si>
    <t>Re-read your handwritten notes/short notes for the topics at left</t>
  </si>
  <si>
    <t>25 mixed PYQs from: C Programming + 10 Maths PYQs from this week's maths topics. Time yourself (~3 min per question).</t>
  </si>
  <si>
    <t>Write every wrong question in an Error Log (topic, why wrong, correct idea). Re-solve each once.</t>
  </si>
  <si>
    <t>Subjects: Data Structures D1 (Arrays &amp; singly linked list); Data Structures D2 (Doubly/circular linked list &amp; stacks); Data Structures D3 (Expression conversion, queues &amp; deque); Data Structures D4 (Binary trees &amp; traversals); Data Structures D5 (BST &amp; AVL trees); Data Structures D6 (Binary heaps &amp; priority queue)
Maths: Sets; Relations I; Relations II; Functions; Partial orders &amp; Hasse diagrams; Lattices</t>
  </si>
  <si>
    <t>25 mixed PYQs from: Data Structures + 10 Maths PYQs from this week's maths topics. Time yourself (~3 min per question).</t>
  </si>
  <si>
    <t>Subjects: Data Structures D7 (Graph representation &amp; basic traversals); Data Structures D8 (DS output-tracing &amp; complexity PYQs); Data Structures D9 (DS full-topic test); Algorithms (DAA) D1 (Asymptotic notation &amp; complexity analysis); Algorithms (DAA) D2 (Recurrence relations); Algorithms (DAA) D3 (Searching &amp; basic sorting)
Maths: Monoids, semigroups &amp; groups; Subgroups, cyclic groups &amp; Lagrange's theorem; Graph basics; Connectivity; Trees, Euler &amp; Hamiltonian graphs; Planar graphs &amp; matching</t>
  </si>
  <si>
    <t>25 mixed PYQs from: Data Structures, Algorithms (DAA) + 10 Maths PYQs from this week's maths topics. Time yourself (~3 min per question).</t>
  </si>
  <si>
    <t>Diwali (approx.) – take it easy. Revise only: Algorithms (DAA) D4 (Merge, quick, heap sort &amp; lower bounds); Algorithms (DAA) D5 (Hashing); Algorithms (DAA) D6 (Divide &amp; conquer applications); Algorithms (DAA) D7 (Greedy algorithms); Algorithms (DAA) D8 (Graph traversals); Algorithms (DAA) D9 (Minimum spanning trees &amp; union-find)</t>
  </si>
  <si>
    <t>Skim your notes lightly</t>
  </si>
  <si>
    <t>No test today</t>
  </si>
  <si>
    <t>Review the error log from last week (40 min)</t>
  </si>
  <si>
    <t>Subjects: Algorithms (DAA) D10 (Shortest paths); Algorithms (DAA) D11 (Dynamic programming I); Algorithms (DAA) D12 (Dynamic programming II); Algorithms (DAA) D13 (Uni-only: backtracking, branch &amp; bound, NP-completeness); Compiler Design D1 (Compiler phases &amp; lexical analysis); Compiler Design D2 (Parsing I: top-down &amp; LL(1))
Maths: Determinants; Rank &amp; inverse; Systems of linear equations; Eigenvalues &amp; eigenvectors; Eigen properties; LU decomposition + LA problem-solving</t>
  </si>
  <si>
    <t>25 mixed PYQs from: Algorithms (DAA), Compiler Design + 10 Maths PYQs from this week's maths topics. Time yourself (~3 min per question).</t>
  </si>
  <si>
    <t>Subjects: Compiler Design D3 (Parsing II: bottom-up, LR(0) &amp; SLR(1)); Compiler Design D4 (Parsing III: CLR(1), LALR(1), operator precedence); Compiler Design D5 (Syntax-directed translation); Compiler Design D6 (Intermediate code &amp; runtime environments); Compiler Design D7 (Code optimisation &amp; data-flow analysis); Operating Systems D1 (OS basics, system calls &amp; processes)
Maths: Probability basics; Conditional probability &amp; independence; Bayes' theorem &amp; total probability; Random variables; Expectation, variance &amp; standard deviation; Binomial distribution</t>
  </si>
  <si>
    <t>25 mixed PYQs from: Compiler Design, Operating Systems + 10 Maths PYQs from this week's maths topics. Time yourself (~3 min per question).</t>
  </si>
  <si>
    <t>Subjects: Operating Systems D2 (Threads &amp; inter-process communication); Operating Systems D3 (CPU scheduling I); Operating Systems D4 (CPU scheduling II); Operating Systems D5 (Process synchronisation I); Operating Systems D6 (Process synchronisation II); Operating Systems D7 (Deadlocks)
Maths: Poisson distribution; Uniform distribution; Exponential distribution; Normal distribution; Statistics; Probability problem-solving</t>
  </si>
  <si>
    <t>25 mixed PYQs from: Operating Systems + 10 Maths PYQs from this week's maths topics. Time yourself (~3 min per question).</t>
  </si>
  <si>
    <t>Subjects: Operating Systems D8 (Memory management: paging &amp; segmentation); Operating Systems D9 (Virtual memory); Operating Systems D10 (File systems, disk scheduling &amp; I/O); Computer Networks D1 (Layering, switching &amp; performance metrics); Computer Networks D2 (Data link I: framing &amp; error detection); Computer Networks D3 (Data link II: flow control &amp; ARQ)
Maths: Calculus; Calculus; Calculus; Mean value theorems; Maxima &amp; minima; Integration I</t>
  </si>
  <si>
    <t>25 mixed PYQs from: Operating Systems, Computer Networks + 10 Maths PYQs from this week's maths topics. Time yourself (~3 min per question).</t>
  </si>
  <si>
    <t>Write every wrong question in an Error Log (topic, why wrong, correct idea). Re-solve each once. Bonus 30 min: open your IPU Software Engineering syllabus, list units, collect last 3 years' papers.</t>
  </si>
  <si>
    <t>University Exam Prep &amp; GATE Wrap-up (11 Dec – 31 Dec)</t>
  </si>
  <si>
    <t>Dates from your IPU end-term datesheet (5th sem, evening 2-5 PM). Software Engineering &amp; Economics syllabi were not shared, so those days use typical topics – adjust to your IPU syllabus.</t>
  </si>
  <si>
    <t>Event</t>
  </si>
  <si>
    <t>Focus</t>
  </si>
  <si>
    <t>Detailed plan</t>
  </si>
  <si>
    <t>Resources</t>
  </si>
  <si>
    <t>1) Re-read your notes/cheat-sheet (30 min) 2) Solve last 3 yrs IPU DAA Q's on units 1-2 (90 min) 3) Redo wrong GATE PYQs (50 min)</t>
  </si>
  <si>
    <t>DAA backup playlist + your IPU DAA papers</t>
  </si>
  <si>
    <t>1) Algorithm tables: complexity, MST, shortest paths (30 min) 2) Write DP/greedy answers in exam style (90 min) 3) IPU PYQs on NP/backtracking (50 min)</t>
  </si>
  <si>
    <t>3 hours: attempt a complete IPU-pattern DAA paper in exam conditions, then evaluate and list weak topics.</t>
  </si>
  <si>
    <t>IPU DAA previous papers</t>
  </si>
  <si>
    <t>1) DAA formula/algorithm sheet (60 min) 2) Quick DAA numericals (60 min) 3) Skim CD notes: parsing tables (50 min)</t>
  </si>
  <si>
    <t>Your notes</t>
  </si>
  <si>
    <t>Morning only: 60 min light read of formula sheet. No new topics. Eat well, reach centre early. After exam: rest; CD revision tomorrow.</t>
  </si>
  <si>
    <t>Formula sheet</t>
  </si>
  <si>
    <t>1) Parsing practice: FIRST/FOLLOW, LL(1), LR tables (90 min) 2) SDT + ICG + code optimisation theory (60 min) 3) IPU CD PYQs (30 min)</t>
  </si>
  <si>
    <t>CD backup playlist (PYQ solutions) + IPU papers</t>
  </si>
  <si>
    <t>Morning only: 60 min – solve 2 parsing-table problems + review data-flow definitions. Then exam.</t>
  </si>
  <si>
    <t>1) Numericals: scheduling, Banker's, page replacement, paging/TLB (100 min) 2) Theory points: sync, file systems (50 min) 3) IPU OS PYQs (30 min)</t>
  </si>
  <si>
    <t>OS backup playlist (PYQ solutions) + IPU papers</t>
  </si>
  <si>
    <t>Morning only: 60 min – quick numerical warm-up (one problem each: SJF, Banker's, LRU). Then exam.</t>
  </si>
  <si>
    <t>3 hours: subnetting/CIDR, sliding-window efficiency, CRC/Hamming, TCP congestion, distance-vector tables, ALOHA/CSMA-CD.</t>
  </si>
  <si>
    <t>CN backup playlist (PYQ solutions)</t>
  </si>
  <si>
    <t>CN Day 8: Application layer + CN revision II: theory + IPU paper</t>
  </si>
  <si>
    <t>1) CN Day 8 lecture – Application layer: DNS, HTTP, email (moved here from the original plan) (60 min) 2) Protocol/layer theory &amp; uni-only topics (IPv6, security) (60 min) 3) IPU CN papers (40 min) 4) Formula sheet (20 min)</t>
  </si>
  <si>
    <t>IPU CN papers</t>
  </si>
  <si>
    <t>Morning only: 60 min – subnetting + TCP numerical warm-up. Then exam.</t>
  </si>
  <si>
    <t>Use YOUR IPU syllabus units. Typical focus: SDLC models, requirements &amp; SRS, design (coupling/cohesion), UML, testing (black/white box), cost estimation (COCOMO, FP), maintenance, SQA. 1) Notes read-through (90 min) 2) IPU PYQs (60 min) 3) Diagrams/definitions (30 min)</t>
  </si>
  <si>
    <t>IPU syllabus + previous papers</t>
  </si>
  <si>
    <t>Morning only: 60 min – revise models comparison, testing types, COCOMO formulas.</t>
  </si>
  <si>
    <t>Use YOUR IPU syllabus units. Typical: demand &amp; supply, elasticity, production &amp; cost, market structures. 1) Notes (90 min) 2) Numericals on elasticity &amp; cost (60 min) 3) PYQs (30 min)</t>
  </si>
  <si>
    <t>Typical: time value of money, depreciation, break-even analysis, national income, inflation, banking. Numericals + PYQs.</t>
  </si>
  <si>
    <t>1) Full timed IPU-pattern paper (90 min) 2) Fix weak units (60 min) 3) Formula/definition sheet (30 min)</t>
  </si>
  <si>
    <t>IPU previous papers</t>
  </si>
  <si>
    <t>Morning only: 60 min light revision of formulas/definitions. Then exam – your last university paper!</t>
  </si>
  <si>
    <t>1) One-page formula sheets for OS &amp; CN (40 min) 2) Discrete Maths PYQs (logic, sets, graphs, counting) – 15 Qs (40 min) 3) 25 mixed OS/CN PYQs, timed (50 min) 4) Error log (50 min) 5) Also do Maths M52 (LA + Probability + Calculus consolidation) and Aptitude Day 52 (moved here from the original plan).</t>
  </si>
  <si>
    <t>GO PDFs topicwise PYQs + backup playlists</t>
  </si>
  <si>
    <t>1) Cheat-tables: complexities, parsers, MST/SP (40 min) 2) LA, Probability, Calculus PYQs – 15 Qs (40 min) 3) 25 mixed Algo/DS/C/CD PYQs, timed (50 min) 4) Error log (50 min)</t>
  </si>
  <si>
    <t>GO PDFs topicwise PYQs</t>
  </si>
  <si>
    <t>1) Timed 3h-style mock on the 6 covered sections (incl. Maths) (use a GATE2020 / GO test) (120 min) 2) Error analysis (40 min) 3) Draft January PYQ plan (20 min)</t>
  </si>
  <si>
    <t>GO free tests (see subject sheets)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</si>
</sst>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"/>
    <numFmt numFmtId="166" formatCode="0.0"/>
  </numFmts>
  <fonts count="1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1"/>
      <color rgb="FF000000"/>
      <name val="Arial"/>
      <charset val="1"/>
    </font>
    <font>
      <b/>
      <sz val="12"/>
      <color rgb="FF1F3864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i/>
      <sz val="10"/>
      <color rgb="FF595959"/>
      <name val="Arial"/>
      <charset val="1"/>
    </font>
    <font>
      <i/>
      <sz val="10"/>
      <name val="Arial"/>
      <charset val="1"/>
    </font>
    <font>
      <u/>
      <sz val="10"/>
      <color rgb="FF0563C1"/>
      <name val="Arial"/>
      <charset val="1"/>
    </font>
    <font>
      <u/>
      <sz val="9"/>
      <color rgb="FF0563C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C6EFCE"/>
      </patternFill>
    </fill>
    <fill>
      <patternFill patternType="solid">
        <fgColor rgb="FFF8CBAD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9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3" fillId="0" borderId="0" xfId="0" applyFont="1"/>
    <xf numFmtId="9" fontId="8" fillId="0" borderId="1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9" fillId="0" borderId="1" xfId="0" applyFont="1" applyBorder="1"/>
    <xf numFmtId="9" fontId="0" fillId="0" borderId="1" xfId="0" applyNumberFormat="1" applyBorder="1"/>
    <xf numFmtId="0" fontId="0" fillId="0" borderId="1" xfId="0" applyBorder="1"/>
    <xf numFmtId="164" fontId="10" fillId="0" borderId="1" xfId="0" applyNumberFormat="1" applyFont="1" applyBorder="1"/>
    <xf numFmtId="0" fontId="11" fillId="0" borderId="0" xfId="0" applyFont="1"/>
    <xf numFmtId="165" fontId="5" fillId="0" borderId="1" xfId="0" applyNumberFormat="1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top" wrapText="1"/>
    </xf>
    <xf numFmtId="165" fontId="5" fillId="3" borderId="1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166" fontId="5" fillId="3" borderId="1" xfId="0" applyNumberFormat="1" applyFont="1" applyFill="1" applyBorder="1" applyAlignment="1">
      <alignment horizontal="center" vertical="top" wrapText="1"/>
    </xf>
    <xf numFmtId="165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center" vertical="top" wrapText="1"/>
    </xf>
    <xf numFmtId="166" fontId="9" fillId="0" borderId="0" xfId="0" applyNumberFormat="1" applyFont="1"/>
    <xf numFmtId="0" fontId="12" fillId="0" borderId="0" xfId="0" applyFont="1"/>
    <xf numFmtId="0" fontId="14" fillId="0" borderId="0" xfId="0" applyFont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1" fillId="0" borderId="0" xfId="0" applyFont="1"/>
    <xf numFmtId="0" fontId="0" fillId="0" borderId="0" xfId="0"/>
    <xf numFmtId="0" fontId="6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9" fillId="0" borderId="0" xfId="0" applyFont="1"/>
    <xf numFmtId="0" fontId="13" fillId="0" borderId="0" xfId="0" applyFont="1"/>
    <xf numFmtId="0" fontId="5" fillId="0" borderId="0" xfId="0" applyFont="1"/>
  </cellXfs>
  <cellStyles count="1">
    <cellStyle name="Normal" xfId="0" builtinId="0"/>
  </cellStyles>
  <dxfs count="20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PLIPZ2_p3RNHillKxh1_iFeZhy9MftHeWW" TargetMode="External"/><Relationship Id="rId13" Type="http://schemas.openxmlformats.org/officeDocument/2006/relationships/hyperlink" Target="https://www.youtube.com/playlist?list=PLIPZ2_p3RNHillKxh1_iFeZhy9MftHeWW" TargetMode="External"/><Relationship Id="rId18" Type="http://schemas.openxmlformats.org/officeDocument/2006/relationships/hyperlink" Target="https://www.youtube.com/playlist?list=PLIPZ2_p3RNHillKxh1_iFeZhy9MftHeWW" TargetMode="External"/><Relationship Id="rId26" Type="http://schemas.openxmlformats.org/officeDocument/2006/relationships/hyperlink" Target="https://www.youtube.com/results?search_query=Vishvadeep+Gothi+arrays%2C+strings%2C+pointers+basics%2C+pointer+arithmetic" TargetMode="External"/><Relationship Id="rId3" Type="http://schemas.openxmlformats.org/officeDocument/2006/relationships/hyperlink" Target="https://github.com/GATEOverflow/GO-PDFs/releases/tag/gatecse-2025" TargetMode="External"/><Relationship Id="rId21" Type="http://schemas.openxmlformats.org/officeDocument/2006/relationships/hyperlink" Target="https://www.youtube.com/results?search_query=Vishvadeep+Gothi+functions%2C+recursion%2C+storage+classes%2C+static+variables" TargetMode="External"/><Relationship Id="rId7" Type="http://schemas.openxmlformats.org/officeDocument/2006/relationships/hyperlink" Target="https://gateoverflow.in/exam/182/programming-gate2020-previous-gate-2" TargetMode="External"/><Relationship Id="rId12" Type="http://schemas.openxmlformats.org/officeDocument/2006/relationships/hyperlink" Target="https://www.youtube.com/playlist?list=PLEAYkSg4uSQ2k6GwNhpgSHodGT8wfvgwu" TargetMode="External"/><Relationship Id="rId17" Type="http://schemas.openxmlformats.org/officeDocument/2006/relationships/hyperlink" Target="https://www.youtube.com/playlist?list=PLEAYkSg4uSQ2k6GwNhpgSHodGT8wfvgwu" TargetMode="External"/><Relationship Id="rId25" Type="http://schemas.openxmlformats.org/officeDocument/2006/relationships/hyperlink" Target="https://www.youtube.com/playlist?list=PLbE3-5DBkMUkATaUFgDIpBDbfnym0qvsQ" TargetMode="External"/><Relationship Id="rId2" Type="http://schemas.openxmlformats.org/officeDocument/2006/relationships/hyperlink" Target="https://www.youtube.com/playlist?list=PLEAYkSg4uSQ2k6GwNhpgSHodGT8wfvgwu" TargetMode="External"/><Relationship Id="rId16" Type="http://schemas.openxmlformats.org/officeDocument/2006/relationships/hyperlink" Target="https://www.youtube.com/results?search_query=Vishvadeep+Gothi+control+statements%2C+loops%2C+switch%2C+printf+scanf" TargetMode="External"/><Relationship Id="rId20" Type="http://schemas.openxmlformats.org/officeDocument/2006/relationships/hyperlink" Target="https://www.youtube.com/playlist?list=PLbE3-5DBkMUkATaUFgDIpBDbfnym0qvsQ" TargetMode="External"/><Relationship Id="rId29" Type="http://schemas.openxmlformats.org/officeDocument/2006/relationships/hyperlink" Target="https://www.youtube.com/results?search_query=GO+Classes+first+order+logic+nested+quantifiers+translation" TargetMode="External"/><Relationship Id="rId1" Type="http://schemas.openxmlformats.org/officeDocument/2006/relationships/hyperlink" Target="https://www.youtube.com/playlist?list=PLbE3-5DBkMUkATaUFgDIpBDbfnym0qvsQ" TargetMode="External"/><Relationship Id="rId6" Type="http://schemas.openxmlformats.org/officeDocument/2006/relationships/hyperlink" Target="https://gateoverflow.in/exam/181/programming-gate2020-previous-gate-1" TargetMode="External"/><Relationship Id="rId11" Type="http://schemas.openxmlformats.org/officeDocument/2006/relationships/hyperlink" Target="https://www.youtube.com/results?search_query=Vishvadeep+Gothi+C+basics%2C+data+types%2C+operators%2C+precedence%2C+bitwise+operators%2C+type+casting" TargetMode="External"/><Relationship Id="rId24" Type="http://schemas.openxmlformats.org/officeDocument/2006/relationships/hyperlink" Target="https://www.youtube.com/results?search_query=GO+Classes+first+order+logic+predicates+quantifiers" TargetMode="External"/><Relationship Id="rId32" Type="http://schemas.openxmlformats.org/officeDocument/2006/relationships/hyperlink" Target="https://www.youtube.com/playlist?list=PLEAYkSg4uSQ2k6GwNhpgSHodGT8wfvgwu" TargetMode="External"/><Relationship Id="rId5" Type="http://schemas.openxmlformats.org/officeDocument/2006/relationships/hyperlink" Target="https://gateoverflow.in/exam/80/go_programming-test-2" TargetMode="External"/><Relationship Id="rId15" Type="http://schemas.openxmlformats.org/officeDocument/2006/relationships/hyperlink" Target="https://www.youtube.com/playlist?list=PLbE3-5DBkMUkATaUFgDIpBDbfnym0qvsQ" TargetMode="External"/><Relationship Id="rId23" Type="http://schemas.openxmlformats.org/officeDocument/2006/relationships/hyperlink" Target="https://www.youtube.com/playlist?list=PLIPZ2_p3RNHillKxh1_iFeZhy9MftHeWW" TargetMode="External"/><Relationship Id="rId28" Type="http://schemas.openxmlformats.org/officeDocument/2006/relationships/hyperlink" Target="https://www.youtube.com/playlist?list=PLIPZ2_p3RNHillKxh1_iFeZhy9MftHeWW" TargetMode="External"/><Relationship Id="rId10" Type="http://schemas.openxmlformats.org/officeDocument/2006/relationships/hyperlink" Target="https://www.youtube.com/playlist?list=PLbE3-5DBkMUkATaUFgDIpBDbfnym0qvsQ" TargetMode="External"/><Relationship Id="rId19" Type="http://schemas.openxmlformats.org/officeDocument/2006/relationships/hyperlink" Target="https://www.youtube.com/results?search_query=GO+Classes+rules+of+inference+validity+functional+completeness" TargetMode="External"/><Relationship Id="rId31" Type="http://schemas.openxmlformats.org/officeDocument/2006/relationships/hyperlink" Target="https://www.youtube.com/results?search_query=Vishvadeep+Gothi+pointers+to+pointers%2C+function+pointers%2C+structures%2C+unions%2C+dynamic+memory%2C+macros" TargetMode="External"/><Relationship Id="rId4" Type="http://schemas.openxmlformats.org/officeDocument/2006/relationships/hyperlink" Target="https://gateoverflow.in/exam/39/go2017-programming-1" TargetMode="External"/><Relationship Id="rId9" Type="http://schemas.openxmlformats.org/officeDocument/2006/relationships/hyperlink" Target="https://www.youtube.com/results?search_query=GO+Classes+propositional+logic+connectives+truth+table" TargetMode="External"/><Relationship Id="rId14" Type="http://schemas.openxmlformats.org/officeDocument/2006/relationships/hyperlink" Target="https://www.youtube.com/results?search_query=GO+Classes+tautology+logical+equivalence+normal+forms" TargetMode="External"/><Relationship Id="rId22" Type="http://schemas.openxmlformats.org/officeDocument/2006/relationships/hyperlink" Target="https://www.youtube.com/playlist?list=PLEAYkSg4uSQ2k6GwNhpgSHodGT8wfvgwu" TargetMode="External"/><Relationship Id="rId27" Type="http://schemas.openxmlformats.org/officeDocument/2006/relationships/hyperlink" Target="https://www.youtube.com/playlist?list=PLEAYkSg4uSQ2k6GwNhpgSHodGT8wfvgwu" TargetMode="External"/><Relationship Id="rId30" Type="http://schemas.openxmlformats.org/officeDocument/2006/relationships/hyperlink" Target="https://www.youtube.com/playlist?list=PLbE3-5DBkMUkATaUFgDIpBDbfnym0qvsQ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results?search_query=Vishwadeep+data+structures+arrays%2C+linked+list+introduction%2C+singly+linked+list+operations%2C+reverse" TargetMode="External"/><Relationship Id="rId18" Type="http://schemas.openxmlformats.org/officeDocument/2006/relationships/hyperlink" Target="https://www.youtube.com/results?search_query=Vishwadeep+data+structures+doubly+linked+list%2C+circular+linked+list%2C+stack+implementation" TargetMode="External"/><Relationship Id="rId26" Type="http://schemas.openxmlformats.org/officeDocument/2006/relationships/hyperlink" Target="https://www.youtube.com/results?search_query=GO+Classes+functions+one+one+onto+bijective" TargetMode="External"/><Relationship Id="rId39" Type="http://schemas.openxmlformats.org/officeDocument/2006/relationships/hyperlink" Target="https://www.youtube.com/playlist?list=PLG9aCp4uE-s3Rs4AjzG0VcXQCggmOJJ6W" TargetMode="External"/><Relationship Id="rId21" Type="http://schemas.openxmlformats.org/officeDocument/2006/relationships/hyperlink" Target="https://www.youtube.com/results?search_query=GO+Classes+equivalence+relation+partition+closure" TargetMode="External"/><Relationship Id="rId34" Type="http://schemas.openxmlformats.org/officeDocument/2006/relationships/hyperlink" Target="https://www.youtube.com/playlist?list=PLG9aCp4uE-s3Rs4AjzG0VcXQCggmOJJ6W" TargetMode="External"/><Relationship Id="rId42" Type="http://schemas.openxmlformats.org/officeDocument/2006/relationships/hyperlink" Target="https://www.youtube.com/playlist?list=PLIC0AxWOdm5BvHpI_AtPqqjoADnSqcYgp" TargetMode="External"/><Relationship Id="rId47" Type="http://schemas.openxmlformats.org/officeDocument/2006/relationships/hyperlink" Target="https://www.youtube.com/playlist?list=PLIC0AxWOdm5BvHpI_AtPqqjoADnSqcYgp" TargetMode="External"/><Relationship Id="rId50" Type="http://schemas.openxmlformats.org/officeDocument/2006/relationships/hyperlink" Target="https://www.youtube.com/playlist?list=PLIPZ2_p3RNHjQoj0k-BlI9zXE0QKdl-lI" TargetMode="External"/><Relationship Id="rId7" Type="http://schemas.openxmlformats.org/officeDocument/2006/relationships/hyperlink" Target="https://gateoverflow.in/exam/178/data-structures-gate2020-previous-gate-2" TargetMode="External"/><Relationship Id="rId2" Type="http://schemas.openxmlformats.org/officeDocument/2006/relationships/hyperlink" Target="https://www.youtube.com/playlist?list=PLG9aCp4uE-s3Rs4AjzG0VcXQCggmOJJ6W" TargetMode="External"/><Relationship Id="rId16" Type="http://schemas.openxmlformats.org/officeDocument/2006/relationships/hyperlink" Target="https://www.youtube.com/results?search_query=GO+Classes+relations+reflexive+symmetric+transitive" TargetMode="External"/><Relationship Id="rId29" Type="http://schemas.openxmlformats.org/officeDocument/2006/relationships/hyperlink" Target="https://www.youtube.com/playlist?list=PLG9aCp4uE-s3Rs4AjzG0VcXQCggmOJJ6W" TargetMode="External"/><Relationship Id="rId11" Type="http://schemas.openxmlformats.org/officeDocument/2006/relationships/hyperlink" Target="https://www.youtube.com/results?search_query=GO+Classes+set+theory+operations+power+set+cardinality" TargetMode="External"/><Relationship Id="rId24" Type="http://schemas.openxmlformats.org/officeDocument/2006/relationships/hyperlink" Target="https://www.youtube.com/playlist?list=PLG9aCp4uE-s3Rs4AjzG0VcXQCggmOJJ6W" TargetMode="External"/><Relationship Id="rId32" Type="http://schemas.openxmlformats.org/officeDocument/2006/relationships/hyperlink" Target="https://www.youtube.com/playlist?list=PLIC0AxWOdm5BvHpI_AtPqqjoADnSqcYgp" TargetMode="External"/><Relationship Id="rId37" Type="http://schemas.openxmlformats.org/officeDocument/2006/relationships/hyperlink" Target="https://www.youtube.com/playlist?list=PLIC0AxWOdm5BvHpI_AtPqqjoADnSqcYgp" TargetMode="External"/><Relationship Id="rId40" Type="http://schemas.openxmlformats.org/officeDocument/2006/relationships/hyperlink" Target="https://www.youtube.com/playlist?list=PLIPZ2_p3RNHhXves0XVa8d5O6F4rUi3KR" TargetMode="External"/><Relationship Id="rId45" Type="http://schemas.openxmlformats.org/officeDocument/2006/relationships/hyperlink" Target="https://www.youtube.com/playlist?list=PLIPZ2_p3RNHhXves0XVa8d5O6F4rUi3KR" TargetMode="External"/><Relationship Id="rId53" Type="http://schemas.openxmlformats.org/officeDocument/2006/relationships/hyperlink" Target="https://www.youtube.com/results?search_query=Vishwadeep+data+structures+PYQ+video+solutions+&#8211;+data+structures+%28backup+playlist%29" TargetMode="External"/><Relationship Id="rId5" Type="http://schemas.openxmlformats.org/officeDocument/2006/relationships/hyperlink" Target="https://gateoverflow.in/exam/52/data-structure-set-2" TargetMode="External"/><Relationship Id="rId10" Type="http://schemas.openxmlformats.org/officeDocument/2006/relationships/hyperlink" Target="https://www.youtube.com/playlist?list=PLIPZ2_p3RNHjHnhdkPWFAlcizVQJ8w4TX" TargetMode="External"/><Relationship Id="rId19" Type="http://schemas.openxmlformats.org/officeDocument/2006/relationships/hyperlink" Target="https://www.youtube.com/playlist?list=PLG9aCp4uE-s3Rs4AjzG0VcXQCggmOJJ6W" TargetMode="External"/><Relationship Id="rId31" Type="http://schemas.openxmlformats.org/officeDocument/2006/relationships/hyperlink" Target="https://www.youtube.com/results?search_query=GO+Classes+partial+order+Hasse+diagram+poset" TargetMode="External"/><Relationship Id="rId44" Type="http://schemas.openxmlformats.org/officeDocument/2006/relationships/hyperlink" Target="https://www.youtube.com/playlist?list=PLG9aCp4uE-s3Rs4AjzG0VcXQCggmOJJ6W" TargetMode="External"/><Relationship Id="rId52" Type="http://schemas.openxmlformats.org/officeDocument/2006/relationships/hyperlink" Target="https://www.youtube.com/playlist?list=PLIC0AxWOdm5BvHpI_AtPqqjoADnSqcYgp" TargetMode="External"/><Relationship Id="rId4" Type="http://schemas.openxmlformats.org/officeDocument/2006/relationships/hyperlink" Target="https://github.com/GATEOverflow/GO-PDFs/releases/tag/gatecse-2025" TargetMode="External"/><Relationship Id="rId9" Type="http://schemas.openxmlformats.org/officeDocument/2006/relationships/hyperlink" Target="https://gateoverflow.in/exam/180/data-structures-gate2020-previous-gate-4" TargetMode="External"/><Relationship Id="rId14" Type="http://schemas.openxmlformats.org/officeDocument/2006/relationships/hyperlink" Target="https://www.youtube.com/playlist?list=PLG9aCp4uE-s3Rs4AjzG0VcXQCggmOJJ6W" TargetMode="External"/><Relationship Id="rId22" Type="http://schemas.openxmlformats.org/officeDocument/2006/relationships/hyperlink" Target="https://www.youtube.com/playlist?list=PLIC0AxWOdm5BvHpI_AtPqqjoADnSqcYgp" TargetMode="External"/><Relationship Id="rId27" Type="http://schemas.openxmlformats.org/officeDocument/2006/relationships/hyperlink" Target="https://www.youtube.com/playlist?list=PLIC0AxWOdm5BvHpI_AtPqqjoADnSqcYgp" TargetMode="External"/><Relationship Id="rId30" Type="http://schemas.openxmlformats.org/officeDocument/2006/relationships/hyperlink" Target="https://www.youtube.com/playlist?list=PLIPZ2_p3RNHjHnhdkPWFAlcizVQJ8w4TX" TargetMode="External"/><Relationship Id="rId35" Type="http://schemas.openxmlformats.org/officeDocument/2006/relationships/hyperlink" Target="https://www.youtube.com/playlist?list=PLIPZ2_p3RNHjHnhdkPWFAlcizVQJ8w4TX" TargetMode="External"/><Relationship Id="rId43" Type="http://schemas.openxmlformats.org/officeDocument/2006/relationships/hyperlink" Target="https://www.youtube.com/results?search_query=Vishwadeep+data+structures+graphs+introduction%2C+adjacency+matrix%2C+adjacency+list%2C+BFS+DFS+basics" TargetMode="External"/><Relationship Id="rId48" Type="http://schemas.openxmlformats.org/officeDocument/2006/relationships/hyperlink" Target="https://www.youtube.com/results?search_query=Vishwadeep+data+structures+DS+revision%2C+PYQ+video+solutions+%28use+backup+playlist%29" TargetMode="External"/><Relationship Id="rId8" Type="http://schemas.openxmlformats.org/officeDocument/2006/relationships/hyperlink" Target="https://gateoverflow.in/exam/179/data-structures-gate2020-previous-gate-3" TargetMode="External"/><Relationship Id="rId51" Type="http://schemas.openxmlformats.org/officeDocument/2006/relationships/hyperlink" Target="https://www.youtube.com/results?search_query=GO+Classes+graph+theory+basics+degree+handshake+isomorphism" TargetMode="External"/><Relationship Id="rId3" Type="http://schemas.openxmlformats.org/officeDocument/2006/relationships/hyperlink" Target="https://www.youtube.com/playlist?list=PLBF3763AF2E1C572F" TargetMode="External"/><Relationship Id="rId12" Type="http://schemas.openxmlformats.org/officeDocument/2006/relationships/hyperlink" Target="https://www.youtube.com/playlist?list=PLIC0AxWOdm5BvHpI_AtPqqjoADnSqcYgp" TargetMode="External"/><Relationship Id="rId17" Type="http://schemas.openxmlformats.org/officeDocument/2006/relationships/hyperlink" Target="https://www.youtube.com/playlist?list=PLIC0AxWOdm5BvHpI_AtPqqjoADnSqcYgp" TargetMode="External"/><Relationship Id="rId25" Type="http://schemas.openxmlformats.org/officeDocument/2006/relationships/hyperlink" Target="https://www.youtube.com/playlist?list=PLIPZ2_p3RNHjHnhdkPWFAlcizVQJ8w4TX" TargetMode="External"/><Relationship Id="rId33" Type="http://schemas.openxmlformats.org/officeDocument/2006/relationships/hyperlink" Target="https://www.youtube.com/results?search_query=Vishwadeep+data+structures+binary+search+tree%2C+BST+deletion%2C+AVL+tree+rotations" TargetMode="External"/><Relationship Id="rId38" Type="http://schemas.openxmlformats.org/officeDocument/2006/relationships/hyperlink" Target="https://www.youtube.com/results?search_query=Vishwadeep+data+structures+binary+heap%2C+heapify%2C+build+heap+complexity%2C+priority+queue" TargetMode="External"/><Relationship Id="rId46" Type="http://schemas.openxmlformats.org/officeDocument/2006/relationships/hyperlink" Target="https://www.youtube.com/results?search_query=GO+Classes+subgroup+cyclic+group+Lagrange+theorem" TargetMode="External"/><Relationship Id="rId20" Type="http://schemas.openxmlformats.org/officeDocument/2006/relationships/hyperlink" Target="https://www.youtube.com/playlist?list=PLIPZ2_p3RNHjHnhdkPWFAlcizVQJ8w4TX" TargetMode="External"/><Relationship Id="rId41" Type="http://schemas.openxmlformats.org/officeDocument/2006/relationships/hyperlink" Target="https://www.youtube.com/results?search_query=GO+Classes+monoid+semigroup+group+definition" TargetMode="External"/><Relationship Id="rId54" Type="http://schemas.openxmlformats.org/officeDocument/2006/relationships/hyperlink" Target="https://www.youtube.com/playlist?list=PLG9aCp4uE-s3Rs4AjzG0VcXQCggmOJJ6W" TargetMode="External"/><Relationship Id="rId1" Type="http://schemas.openxmlformats.org/officeDocument/2006/relationships/hyperlink" Target="https://www.youtube.com/playlist?list=PLIC0AxWOdm5BvHpI_AtPqqjoADnSqcYgp" TargetMode="External"/><Relationship Id="rId6" Type="http://schemas.openxmlformats.org/officeDocument/2006/relationships/hyperlink" Target="https://gateoverflow.in/exam/177/data-structures-gate2020-previous-gate-1" TargetMode="External"/><Relationship Id="rId15" Type="http://schemas.openxmlformats.org/officeDocument/2006/relationships/hyperlink" Target="https://www.youtube.com/playlist?list=PLIPZ2_p3RNHjHnhdkPWFAlcizVQJ8w4TX" TargetMode="External"/><Relationship Id="rId23" Type="http://schemas.openxmlformats.org/officeDocument/2006/relationships/hyperlink" Target="https://www.youtube.com/results?search_query=Vishwadeep+data+structures+infix+postfix+prefix+conversion%2C+queue%2C+circular+queue%2C+deque" TargetMode="External"/><Relationship Id="rId28" Type="http://schemas.openxmlformats.org/officeDocument/2006/relationships/hyperlink" Target="https://www.youtube.com/results?search_query=Vishwadeep+data+structures+binary+tree%2C+tree+traversals%2C+construct+tree+from+inorder+preorder%2C+counting+binary+trees" TargetMode="External"/><Relationship Id="rId36" Type="http://schemas.openxmlformats.org/officeDocument/2006/relationships/hyperlink" Target="https://www.youtube.com/results?search_query=GO+Classes+lattice+distributive+complemented+Boolean" TargetMode="External"/><Relationship Id="rId49" Type="http://schemas.openxmlformats.org/officeDocument/2006/relationships/hyperlink" Target="https://www.youtube.com/playlist?list=PLG9aCp4uE-s3Rs4AjzG0VcXQCggmOJJ6W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results?search_query=GO+Classes+graph+colouring+chromatic+number+clique" TargetMode="External"/><Relationship Id="rId21" Type="http://schemas.openxmlformats.org/officeDocument/2006/relationships/hyperlink" Target="https://www.youtube.com/results?search_query=GO+Classes+planar+graph+matching+Hall+theorem" TargetMode="External"/><Relationship Id="rId42" Type="http://schemas.openxmlformats.org/officeDocument/2006/relationships/hyperlink" Target="https://www.youtube.com/playlist?list=PLAXnLdrLnQpRcveZTtD644gM9uzYqJCwr" TargetMode="External"/><Relationship Id="rId47" Type="http://schemas.openxmlformats.org/officeDocument/2006/relationships/hyperlink" Target="https://www.youtube.com/playlist?list=PLAXnLdrLnQpRcveZTtD644gM9uzYqJCwr" TargetMode="External"/><Relationship Id="rId63" Type="http://schemas.openxmlformats.org/officeDocument/2006/relationships/hyperlink" Target="https://www.youtube.com/results?search_query=Abdul+Bari+algorithms+dynamic+programming+introduction%2C+LCS%2C+LIS%2C+matrix+chain+multiplication" TargetMode="External"/><Relationship Id="rId68" Type="http://schemas.openxmlformats.org/officeDocument/2006/relationships/hyperlink" Target="https://www.youtube.com/results?search_query=Abdul+Bari+algorithms+0%2F1+knapsack%2C+coin+change%2C+edit+distance%2C+subset+sum" TargetMode="External"/><Relationship Id="rId2" Type="http://schemas.openxmlformats.org/officeDocument/2006/relationships/hyperlink" Target="https://www.youtube.com/playlist?list=PLIPZ2_p3RNHjUCHdJp-_soSSmhgmO4i0T" TargetMode="External"/><Relationship Id="rId16" Type="http://schemas.openxmlformats.org/officeDocument/2006/relationships/hyperlink" Target="https://www.youtube.com/results?search_query=GO+Classes+trees+Euler+Hamiltonian+graph" TargetMode="External"/><Relationship Id="rId29" Type="http://schemas.openxmlformats.org/officeDocument/2006/relationships/hyperlink" Target="https://www.youtube.com/playlist?list=PLIPZ2_p3RNHjUCHdJp-_soSSmhgmO4i0T" TargetMode="External"/><Relationship Id="rId11" Type="http://schemas.openxmlformats.org/officeDocument/2006/relationships/hyperlink" Target="https://www.youtube.com/results?search_query=GO+Classes+graph+connectivity+cut+vertex+bridge" TargetMode="External"/><Relationship Id="rId24" Type="http://schemas.openxmlformats.org/officeDocument/2006/relationships/hyperlink" Target="https://www.youtube.com/playlist?list=PLIPZ2_p3RNHjUCHdJp-_soSSmhgmO4i0T" TargetMode="External"/><Relationship Id="rId32" Type="http://schemas.openxmlformats.org/officeDocument/2006/relationships/hyperlink" Target="https://www.youtube.com/playlist?list=PLAXnLdrLnQpRcveZTtD644gM9uzYqJCwr" TargetMode="External"/><Relationship Id="rId37" Type="http://schemas.openxmlformats.org/officeDocument/2006/relationships/hyperlink" Target="https://www.youtube.com/playlist?list=PLAXnLdrLnQpRcveZTtD644gM9uzYqJCwr" TargetMode="External"/><Relationship Id="rId40" Type="http://schemas.openxmlformats.org/officeDocument/2006/relationships/hyperlink" Target="https://www.youtube.com/playlist?list=PLIPZ2_p3RNHhhTH0o1JBMgscMUvxs4E_4" TargetMode="External"/><Relationship Id="rId45" Type="http://schemas.openxmlformats.org/officeDocument/2006/relationships/hyperlink" Target="https://www.youtube.com/playlist?list=PLIPZ2_p3RNHgm_UqwqckMxM68HS4BkjYY" TargetMode="External"/><Relationship Id="rId53" Type="http://schemas.openxmlformats.org/officeDocument/2006/relationships/hyperlink" Target="https://www.youtube.com/results?search_query=Abdul+Bari+algorithms+minimum+spanning+tree%2C+Kruskal%2C+Prim%2C+disjoint+set+union+find" TargetMode="External"/><Relationship Id="rId58" Type="http://schemas.openxmlformats.org/officeDocument/2006/relationships/hyperlink" Target="https://www.youtube.com/results?search_query=Abdul+Bari+algorithms+Dijkstra%2C+Bellman+Ford%2C+Floyd+Warshall%2C+single+source+shortest+path" TargetMode="External"/><Relationship Id="rId66" Type="http://schemas.openxmlformats.org/officeDocument/2006/relationships/hyperlink" Target="https://www.youtube.com/results?search_query=GO+Classes+system+of+linear+equations+consistency+rank" TargetMode="External"/><Relationship Id="rId74" Type="http://schemas.openxmlformats.org/officeDocument/2006/relationships/hyperlink" Target="https://www.youtube.com/playlist?list=PLIPZ2_p3RNHjUCHdJp-_soSSmhgmO4i0T" TargetMode="External"/><Relationship Id="rId5" Type="http://schemas.openxmlformats.org/officeDocument/2006/relationships/hyperlink" Target="https://gateoverflow.in/exam/37/go2017-algorithms-1" TargetMode="External"/><Relationship Id="rId61" Type="http://schemas.openxmlformats.org/officeDocument/2006/relationships/hyperlink" Target="https://www.youtube.com/results?search_query=GO+Classes+rank+inverse+of+matrix" TargetMode="External"/><Relationship Id="rId19" Type="http://schemas.openxmlformats.org/officeDocument/2006/relationships/hyperlink" Target="https://www.youtube.com/playlist?list=PLIPZ2_p3RNHjUCHdJp-_soSSmhgmO4i0T" TargetMode="External"/><Relationship Id="rId14" Type="http://schemas.openxmlformats.org/officeDocument/2006/relationships/hyperlink" Target="https://www.youtube.com/playlist?list=PLIPZ2_p3RNHjUCHdJp-_soSSmhgmO4i0T" TargetMode="External"/><Relationship Id="rId22" Type="http://schemas.openxmlformats.org/officeDocument/2006/relationships/hyperlink" Target="https://www.youtube.com/playlist?list=PLAXnLdrLnQpRcveZTtD644gM9uzYqJCwr" TargetMode="External"/><Relationship Id="rId27" Type="http://schemas.openxmlformats.org/officeDocument/2006/relationships/hyperlink" Target="https://www.youtube.com/playlist?list=PLAXnLdrLnQpRcveZTtD644gM9uzYqJCwr" TargetMode="External"/><Relationship Id="rId30" Type="http://schemas.openxmlformats.org/officeDocument/2006/relationships/hyperlink" Target="https://www.youtube.com/playlist?list=PLIPZ2_p3RNHgm_UqwqckMxM68HS4BkjYY" TargetMode="External"/><Relationship Id="rId35" Type="http://schemas.openxmlformats.org/officeDocument/2006/relationships/hyperlink" Target="https://www.youtube.com/playlist?list=PLIPZ2_p3RNHgm_UqwqckMxM68HS4BkjYY" TargetMode="External"/><Relationship Id="rId43" Type="http://schemas.openxmlformats.org/officeDocument/2006/relationships/hyperlink" Target="https://www.youtube.com/results?search_query=Abdul+Bari+algorithms+greedy+method%2C+fractional+knapsack%2C+job+sequencing%2C+Huffman+coding" TargetMode="External"/><Relationship Id="rId48" Type="http://schemas.openxmlformats.org/officeDocument/2006/relationships/hyperlink" Target="https://www.youtube.com/results?search_query=Abdul+Bari+algorithms+BFS%2C+DFS%2C+topological+sort%2C+strongly+connected+components" TargetMode="External"/><Relationship Id="rId56" Type="http://schemas.openxmlformats.org/officeDocument/2006/relationships/hyperlink" Target="https://www.youtube.com/results?search_query=GO+Classes+determinant+properties+linear+algebra" TargetMode="External"/><Relationship Id="rId64" Type="http://schemas.openxmlformats.org/officeDocument/2006/relationships/hyperlink" Target="https://www.youtube.com/playlist?list=PLIPZ2_p3RNHjUCHdJp-_soSSmhgmO4i0T" TargetMode="External"/><Relationship Id="rId69" Type="http://schemas.openxmlformats.org/officeDocument/2006/relationships/hyperlink" Target="https://www.youtube.com/playlist?list=PLIPZ2_p3RNHjUCHdJp-_soSSmhgmO4i0T" TargetMode="External"/><Relationship Id="rId8" Type="http://schemas.openxmlformats.org/officeDocument/2006/relationships/hyperlink" Target="https://gateoverflow.in/exam/145/algorithms-gate2020-previous-gate-1" TargetMode="External"/><Relationship Id="rId51" Type="http://schemas.openxmlformats.org/officeDocument/2006/relationships/hyperlink" Target="https://www.youtube.com/results?search_query=GO+Classes+linear+algebra+matrices+types+operations" TargetMode="External"/><Relationship Id="rId72" Type="http://schemas.openxmlformats.org/officeDocument/2006/relationships/hyperlink" Target="https://www.youtube.com/playlist?list=PLAXnLdrLnQpRcveZTtD644gM9uzYqJCwr" TargetMode="External"/><Relationship Id="rId3" Type="http://schemas.openxmlformats.org/officeDocument/2006/relationships/hyperlink" Target="https://www.youtube.com/playlist?list=PL7DC83C6B3312DF1E" TargetMode="External"/><Relationship Id="rId12" Type="http://schemas.openxmlformats.org/officeDocument/2006/relationships/hyperlink" Target="https://www.youtube.com/playlist?list=PLAXnLdrLnQpRcveZTtD644gM9uzYqJCwr" TargetMode="External"/><Relationship Id="rId17" Type="http://schemas.openxmlformats.org/officeDocument/2006/relationships/hyperlink" Target="https://www.youtube.com/playlist?list=PLAXnLdrLnQpRcveZTtD644gM9uzYqJCwr" TargetMode="External"/><Relationship Id="rId25" Type="http://schemas.openxmlformats.org/officeDocument/2006/relationships/hyperlink" Target="https://www.youtube.com/playlist?list=PLIPZ2_p3RNHjQoj0k-BlI9zXE0QKdl-lI" TargetMode="External"/><Relationship Id="rId33" Type="http://schemas.openxmlformats.org/officeDocument/2006/relationships/hyperlink" Target="https://www.youtube.com/results?search_query=Abdul+Bari+algorithms+hashing%2C+collision+resolution%2C+chaining%2C+open+addressing" TargetMode="External"/><Relationship Id="rId38" Type="http://schemas.openxmlformats.org/officeDocument/2006/relationships/hyperlink" Target="https://www.youtube.com/results?search_query=Abdul+Bari+algorithms+divide+and+conquer%2C+strassen+matrix+multiplication%2C+finding+min+max" TargetMode="External"/><Relationship Id="rId46" Type="http://schemas.openxmlformats.org/officeDocument/2006/relationships/hyperlink" Target="https://www.youtube.com/results?search_query=GO+Classes+generating+function+counting+recurrence" TargetMode="External"/><Relationship Id="rId59" Type="http://schemas.openxmlformats.org/officeDocument/2006/relationships/hyperlink" Target="https://www.youtube.com/playlist?list=PLIPZ2_p3RNHjUCHdJp-_soSSmhgmO4i0T" TargetMode="External"/><Relationship Id="rId67" Type="http://schemas.openxmlformats.org/officeDocument/2006/relationships/hyperlink" Target="https://www.youtube.com/playlist?list=PLAXnLdrLnQpRcveZTtD644gM9uzYqJCwr" TargetMode="External"/><Relationship Id="rId20" Type="http://schemas.openxmlformats.org/officeDocument/2006/relationships/hyperlink" Target="https://www.youtube.com/playlist?list=PLIPZ2_p3RNHjQoj0k-BlI9zXE0QKdl-lI" TargetMode="External"/><Relationship Id="rId41" Type="http://schemas.openxmlformats.org/officeDocument/2006/relationships/hyperlink" Target="https://www.youtube.com/results?search_query=GO+Classes+recurrence+relation+characteristic+equation" TargetMode="External"/><Relationship Id="rId54" Type="http://schemas.openxmlformats.org/officeDocument/2006/relationships/hyperlink" Target="https://www.youtube.com/playlist?list=PLIPZ2_p3RNHjUCHdJp-_soSSmhgmO4i0T" TargetMode="External"/><Relationship Id="rId62" Type="http://schemas.openxmlformats.org/officeDocument/2006/relationships/hyperlink" Target="https://www.youtube.com/playlist?list=PLAXnLdrLnQpRcveZTtD644gM9uzYqJCwr" TargetMode="External"/><Relationship Id="rId70" Type="http://schemas.openxmlformats.org/officeDocument/2006/relationships/hyperlink" Target="https://www.youtube.com/playlist?list=PLIPZ2_p3RNHhGLQ1ZT37KLpBMAD90CM4_" TargetMode="External"/><Relationship Id="rId1" Type="http://schemas.openxmlformats.org/officeDocument/2006/relationships/hyperlink" Target="https://www.youtube.com/playlist?list=PLAXnLdrLnQpRcveZTtD644gM9uzYqJCwr" TargetMode="External"/><Relationship Id="rId6" Type="http://schemas.openxmlformats.org/officeDocument/2006/relationships/hyperlink" Target="https://gateoverflow.in/exam/82/algorithm-test-2" TargetMode="External"/><Relationship Id="rId15" Type="http://schemas.openxmlformats.org/officeDocument/2006/relationships/hyperlink" Target="https://www.youtube.com/playlist?list=PLIPZ2_p3RNHjQoj0k-BlI9zXE0QKdl-lI" TargetMode="External"/><Relationship Id="rId23" Type="http://schemas.openxmlformats.org/officeDocument/2006/relationships/hyperlink" Target="https://www.youtube.com/results?search_query=Abdul+Bari+algorithms+linear+search%2C+binary+search%2C+bubble+sort%2C+insertion+sort%2C+selection+sort%2C+stable+sorting" TargetMode="External"/><Relationship Id="rId28" Type="http://schemas.openxmlformats.org/officeDocument/2006/relationships/hyperlink" Target="https://www.youtube.com/results?search_query=Abdul+Bari+algorithms+merge+sort%2C+quick+sort%2C+heap+sort%2C+counting+sort%2C+radix+sort" TargetMode="External"/><Relationship Id="rId36" Type="http://schemas.openxmlformats.org/officeDocument/2006/relationships/hyperlink" Target="https://www.youtube.com/results?search_query=GO+Classes+pigeonhole+inclusion+exclusion+derangement+stars+and+bars" TargetMode="External"/><Relationship Id="rId49" Type="http://schemas.openxmlformats.org/officeDocument/2006/relationships/hyperlink" Target="https://www.youtube.com/playlist?list=PLIPZ2_p3RNHjUCHdJp-_soSSmhgmO4i0T" TargetMode="External"/><Relationship Id="rId57" Type="http://schemas.openxmlformats.org/officeDocument/2006/relationships/hyperlink" Target="https://www.youtube.com/playlist?list=PLAXnLdrLnQpRcveZTtD644gM9uzYqJCwr" TargetMode="External"/><Relationship Id="rId10" Type="http://schemas.openxmlformats.org/officeDocument/2006/relationships/hyperlink" Target="https://www.youtube.com/playlist?list=PLIPZ2_p3RNHjQoj0k-BlI9zXE0QKdl-lI" TargetMode="External"/><Relationship Id="rId31" Type="http://schemas.openxmlformats.org/officeDocument/2006/relationships/hyperlink" Target="https://www.youtube.com/results?search_query=GO+Classes+counting+permutation+combination+basic+principles" TargetMode="External"/><Relationship Id="rId44" Type="http://schemas.openxmlformats.org/officeDocument/2006/relationships/hyperlink" Target="https://www.youtube.com/playlist?list=PLIPZ2_p3RNHjUCHdJp-_soSSmhgmO4i0T" TargetMode="External"/><Relationship Id="rId52" Type="http://schemas.openxmlformats.org/officeDocument/2006/relationships/hyperlink" Target="https://www.youtube.com/playlist?list=PLAXnLdrLnQpRcveZTtD644gM9uzYqJCwr" TargetMode="External"/><Relationship Id="rId60" Type="http://schemas.openxmlformats.org/officeDocument/2006/relationships/hyperlink" Target="https://www.youtube.com/playlist?list=PLIPZ2_p3RNHhGLQ1ZT37KLpBMAD90CM4_" TargetMode="External"/><Relationship Id="rId65" Type="http://schemas.openxmlformats.org/officeDocument/2006/relationships/hyperlink" Target="https://www.youtube.com/playlist?list=PLIPZ2_p3RNHhGLQ1ZT37KLpBMAD90CM4_" TargetMode="External"/><Relationship Id="rId73" Type="http://schemas.openxmlformats.org/officeDocument/2006/relationships/hyperlink" Target="https://www.youtube.com/results?search_query=Abdul+Bari+algorithms+backtracking%2C+N+queens%2C+branch+and+bound%2C+P+NP+NP-complete" TargetMode="External"/><Relationship Id="rId4" Type="http://schemas.openxmlformats.org/officeDocument/2006/relationships/hyperlink" Target="https://github.com/GATEOverflow/GO-PDFs/releases/tag/gatecse-2025" TargetMode="External"/><Relationship Id="rId9" Type="http://schemas.openxmlformats.org/officeDocument/2006/relationships/hyperlink" Target="https://gateoverflow.in/exam/146/algorithms-gate2020-previous-gate-2" TargetMode="External"/><Relationship Id="rId13" Type="http://schemas.openxmlformats.org/officeDocument/2006/relationships/hyperlink" Target="https://www.youtube.com/results?search_query=Abdul+Bari+algorithms+asymptotic+notations%2C+time+complexity%2C+space+complexity%2C+loop+analysis" TargetMode="External"/><Relationship Id="rId18" Type="http://schemas.openxmlformats.org/officeDocument/2006/relationships/hyperlink" Target="https://www.youtube.com/results?search_query=Abdul+Bari+algorithms+recurrence+relation%2C+master+theorem%2C+recursion+tree+method" TargetMode="External"/><Relationship Id="rId39" Type="http://schemas.openxmlformats.org/officeDocument/2006/relationships/hyperlink" Target="https://www.youtube.com/playlist?list=PLIPZ2_p3RNHjUCHdJp-_soSSmhgmO4i0T" TargetMode="External"/><Relationship Id="rId34" Type="http://schemas.openxmlformats.org/officeDocument/2006/relationships/hyperlink" Target="https://www.youtube.com/playlist?list=PLIPZ2_p3RNHjUCHdJp-_soSSmhgmO4i0T" TargetMode="External"/><Relationship Id="rId50" Type="http://schemas.openxmlformats.org/officeDocument/2006/relationships/hyperlink" Target="https://www.youtube.com/playlist?list=PLIPZ2_p3RNHhGLQ1ZT37KLpBMAD90CM4_" TargetMode="External"/><Relationship Id="rId55" Type="http://schemas.openxmlformats.org/officeDocument/2006/relationships/hyperlink" Target="https://www.youtube.com/playlist?list=PLIPZ2_p3RNHhGLQ1ZT37KLpBMAD90CM4_" TargetMode="External"/><Relationship Id="rId7" Type="http://schemas.openxmlformats.org/officeDocument/2006/relationships/hyperlink" Target="https://gateoverflow.in/exam/66/algorithms-previous-gate-1" TargetMode="External"/><Relationship Id="rId71" Type="http://schemas.openxmlformats.org/officeDocument/2006/relationships/hyperlink" Target="https://www.youtube.com/results?search_query=GO+Classes+eigenvalues+eigenvector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EbnTDJUr_IcPtUXFy2b1sGRPsLFMghhS" TargetMode="External"/><Relationship Id="rId18" Type="http://schemas.openxmlformats.org/officeDocument/2006/relationships/hyperlink" Target="https://www.youtube.com/playlist?list=PLEbnTDJUr_IcPtUXFy2b1sGRPsLFMghhS" TargetMode="External"/><Relationship Id="rId26" Type="http://schemas.openxmlformats.org/officeDocument/2006/relationships/hyperlink" Target="https://www.youtube.com/playlist?list=PLhLZ_zxDsyOIKbQfKFM05BLYRhUZ7JP-M" TargetMode="External"/><Relationship Id="rId39" Type="http://schemas.openxmlformats.org/officeDocument/2006/relationships/hyperlink" Target="https://www.youtube.com/results?search_query=Ravindrababu+Ravula+compiler+design+intermediate+code+generation%2C+three+address+code%2C+activation+record%2C+runtime+environment%2C+parameter+passing" TargetMode="External"/><Relationship Id="rId21" Type="http://schemas.openxmlformats.org/officeDocument/2006/relationships/hyperlink" Target="https://www.youtube.com/playlist?list=PLhLZ_zxDsyOIKbQfKFM05BLYRhUZ7JP-M" TargetMode="External"/><Relationship Id="rId34" Type="http://schemas.openxmlformats.org/officeDocument/2006/relationships/hyperlink" Target="https://www.youtube.com/results?search_query=Ravindrababu+Ravula+compiler+design+syntax+directed+translation%2C+SDD%2C+S-attributed+L-attributed%2C+annotated+parse+tree" TargetMode="External"/><Relationship Id="rId42" Type="http://schemas.openxmlformats.org/officeDocument/2006/relationships/hyperlink" Target="https://www.youtube.com/results?search_query=gradeup+expectation+variance+standard+deviation" TargetMode="External"/><Relationship Id="rId7" Type="http://schemas.openxmlformats.org/officeDocument/2006/relationships/hyperlink" Target="https://gateoverflow.in/exam/47/compiler-design" TargetMode="External"/><Relationship Id="rId2" Type="http://schemas.openxmlformats.org/officeDocument/2006/relationships/hyperlink" Target="https://www.youtube.com/playlist?list=PLIPZ2_p3RNHjy3eH_qRImIs5dVUTpr9ga" TargetMode="External"/><Relationship Id="rId16" Type="http://schemas.openxmlformats.org/officeDocument/2006/relationships/hyperlink" Target="https://www.youtube.com/playlist?list=PLIPZ2_p3RNHhGLQ1ZT37KLpBMAD90CM4_" TargetMode="External"/><Relationship Id="rId29" Type="http://schemas.openxmlformats.org/officeDocument/2006/relationships/hyperlink" Target="https://www.youtube.com/results?search_query=Ravindrababu+Ravula+compiler+design+CLR%281%29%2C+LALR%281%29%2C+operator+precedence+parsing%2C+parser+comparison" TargetMode="External"/><Relationship Id="rId1" Type="http://schemas.openxmlformats.org/officeDocument/2006/relationships/hyperlink" Target="https://www.youtube.com/playlist?list=PLEbnTDJUr_IcPtUXFy2b1sGRPsLFMghhS" TargetMode="External"/><Relationship Id="rId6" Type="http://schemas.openxmlformats.org/officeDocument/2006/relationships/hyperlink" Target="https://gateoverflow.in/exam/139/go2019-compiler1-parsing" TargetMode="External"/><Relationship Id="rId11" Type="http://schemas.openxmlformats.org/officeDocument/2006/relationships/hyperlink" Target="https://www.youtube.com/playlist?list=PLIPZ2_p3RNHhGLQ1ZT37KLpBMAD90CM4_" TargetMode="External"/><Relationship Id="rId24" Type="http://schemas.openxmlformats.org/officeDocument/2006/relationships/hyperlink" Target="https://www.youtube.com/results?search_query=Ravindrababu+Ravula+compiler+design+bottom+up+parsing%2C+LR%280%29%2C+SLR%281%29%2C+shift+reduce%2C+canonical+items" TargetMode="External"/><Relationship Id="rId32" Type="http://schemas.openxmlformats.org/officeDocument/2006/relationships/hyperlink" Target="https://www.youtube.com/results?search_query=gradeup+Bayes+theorem+total+probability" TargetMode="External"/><Relationship Id="rId37" Type="http://schemas.openxmlformats.org/officeDocument/2006/relationships/hyperlink" Target="https://www.youtube.com/results?search_query=gradeup+random+variable+PMF+PDF+CDF" TargetMode="External"/><Relationship Id="rId40" Type="http://schemas.openxmlformats.org/officeDocument/2006/relationships/hyperlink" Target="https://www.youtube.com/playlist?list=PLIPZ2_p3RNHj8kDhh1OCIzEha8qhzfe1f" TargetMode="External"/><Relationship Id="rId45" Type="http://schemas.openxmlformats.org/officeDocument/2006/relationships/hyperlink" Target="https://www.youtube.com/playlist?list=PLIPZ2_p3RNHj8kDhh1OCIzEha8qhzfe1f" TargetMode="External"/><Relationship Id="rId5" Type="http://schemas.openxmlformats.org/officeDocument/2006/relationships/hyperlink" Target="https://github.com/GATEOverflow/GO-PDFs/releases/tag/gatecse-2025" TargetMode="External"/><Relationship Id="rId15" Type="http://schemas.openxmlformats.org/officeDocument/2006/relationships/hyperlink" Target="https://www.youtube.com/playlist?list=PLIPZ2_p3RNHjy3eH_qRImIs5dVUTpr9ga" TargetMode="External"/><Relationship Id="rId23" Type="http://schemas.openxmlformats.org/officeDocument/2006/relationships/hyperlink" Target="https://www.youtube.com/playlist?list=PLEbnTDJUr_IcPtUXFy2b1sGRPsLFMghhS" TargetMode="External"/><Relationship Id="rId28" Type="http://schemas.openxmlformats.org/officeDocument/2006/relationships/hyperlink" Target="https://www.youtube.com/playlist?list=PLEbnTDJUr_IcPtUXFy2b1sGRPsLFMghhS" TargetMode="External"/><Relationship Id="rId36" Type="http://schemas.openxmlformats.org/officeDocument/2006/relationships/hyperlink" Target="https://www.youtube.com/playlist?list=PLhLZ_zxDsyOIKbQfKFM05BLYRhUZ7JP-M" TargetMode="External"/><Relationship Id="rId10" Type="http://schemas.openxmlformats.org/officeDocument/2006/relationships/hyperlink" Target="https://gateoverflow.in/exam/167/compilers-gate2020-previous-gate-3" TargetMode="External"/><Relationship Id="rId19" Type="http://schemas.openxmlformats.org/officeDocument/2006/relationships/hyperlink" Target="https://www.youtube.com/results?search_query=Ravindrababu+Ravula+compiler+design+top+down+parsing%2C+first+and+follow%2C+LL%281%29+parser%2C+left+recursion" TargetMode="External"/><Relationship Id="rId31" Type="http://schemas.openxmlformats.org/officeDocument/2006/relationships/hyperlink" Target="https://www.youtube.com/playlist?list=PLhLZ_zxDsyOIKbQfKFM05BLYRhUZ7JP-M" TargetMode="External"/><Relationship Id="rId44" Type="http://schemas.openxmlformats.org/officeDocument/2006/relationships/hyperlink" Target="https://www.youtube.com/results?search_query=Ravindrababu+Ravula+compiler+design+code+optimization%2C+basic+blocks%2C+data+flow+analysis%2C+liveness%2C+constant+propagation%2C+common+subexpression" TargetMode="External"/><Relationship Id="rId4" Type="http://schemas.openxmlformats.org/officeDocument/2006/relationships/hyperlink" Target="https://www.youtube.com/playlist?list=PL54i8TI-dREaHgsBFNalWnz-bC9CZkOBb" TargetMode="External"/><Relationship Id="rId9" Type="http://schemas.openxmlformats.org/officeDocument/2006/relationships/hyperlink" Target="https://gateoverflow.in/exam/152/compilers-gate2020-previous-gate-2" TargetMode="External"/><Relationship Id="rId14" Type="http://schemas.openxmlformats.org/officeDocument/2006/relationships/hyperlink" Target="https://www.youtube.com/results?search_query=Ravindrababu+Ravula+compiler+design+phases+of+compiler%2C+lexical+analysis%2C+tokens%2C+lex%2C+symbol+table" TargetMode="External"/><Relationship Id="rId22" Type="http://schemas.openxmlformats.org/officeDocument/2006/relationships/hyperlink" Target="https://www.youtube.com/results?search_query=gradeup+probability+basics+sample+space+axioms" TargetMode="External"/><Relationship Id="rId27" Type="http://schemas.openxmlformats.org/officeDocument/2006/relationships/hyperlink" Target="https://www.youtube.com/results?search_query=gradeup+conditional+probability+independent+events" TargetMode="External"/><Relationship Id="rId30" Type="http://schemas.openxmlformats.org/officeDocument/2006/relationships/hyperlink" Target="https://www.youtube.com/playlist?list=PLIPZ2_p3RNHjy3eH_qRImIs5dVUTpr9ga" TargetMode="External"/><Relationship Id="rId35" Type="http://schemas.openxmlformats.org/officeDocument/2006/relationships/hyperlink" Target="https://www.youtube.com/playlist?list=PLIPZ2_p3RNHjy3eH_qRImIs5dVUTpr9ga" TargetMode="External"/><Relationship Id="rId43" Type="http://schemas.openxmlformats.org/officeDocument/2006/relationships/hyperlink" Target="https://www.youtube.com/playlist?list=PLEbnTDJUr_IcPtUXFy2b1sGRPsLFMghhS" TargetMode="External"/><Relationship Id="rId8" Type="http://schemas.openxmlformats.org/officeDocument/2006/relationships/hyperlink" Target="https://gateoverflow.in/exam/151/compilers-gate2020-previous-gate-1" TargetMode="External"/><Relationship Id="rId3" Type="http://schemas.openxmlformats.org/officeDocument/2006/relationships/hyperlink" Target="https://www.youtube.com/playlist?list=PLIPZ2_p3RNHj8kDhh1OCIzEha8qhzfe1f" TargetMode="External"/><Relationship Id="rId12" Type="http://schemas.openxmlformats.org/officeDocument/2006/relationships/hyperlink" Target="https://www.youtube.com/results?search_query=GO+Classes+Cayley+Hamilton+diagonalization+eigenvalue+properties" TargetMode="External"/><Relationship Id="rId17" Type="http://schemas.openxmlformats.org/officeDocument/2006/relationships/hyperlink" Target="https://www.youtube.com/results?search_query=GO+Classes+LU+decomposition" TargetMode="External"/><Relationship Id="rId25" Type="http://schemas.openxmlformats.org/officeDocument/2006/relationships/hyperlink" Target="https://www.youtube.com/playlist?list=PLIPZ2_p3RNHjy3eH_qRImIs5dVUTpr9ga" TargetMode="External"/><Relationship Id="rId33" Type="http://schemas.openxmlformats.org/officeDocument/2006/relationships/hyperlink" Target="https://www.youtube.com/playlist?list=PLEbnTDJUr_IcPtUXFy2b1sGRPsLFMghhS" TargetMode="External"/><Relationship Id="rId38" Type="http://schemas.openxmlformats.org/officeDocument/2006/relationships/hyperlink" Target="https://www.youtube.com/playlist?list=PLEbnTDJUr_IcPtUXFy2b1sGRPsLFMghhS" TargetMode="External"/><Relationship Id="rId20" Type="http://schemas.openxmlformats.org/officeDocument/2006/relationships/hyperlink" Target="https://www.youtube.com/playlist?list=PLIPZ2_p3RNHjy3eH_qRImIs5dVUTpr9ga" TargetMode="External"/><Relationship Id="rId41" Type="http://schemas.openxmlformats.org/officeDocument/2006/relationships/hyperlink" Target="https://www.youtube.com/playlist?list=PLhLZ_zxDsyOIKbQfKFM05BLYRhUZ7JP-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IPZ2_p3RNHixlIaarIXGPy-eggJQMxd_" TargetMode="External"/><Relationship Id="rId18" Type="http://schemas.openxmlformats.org/officeDocument/2006/relationships/hyperlink" Target="https://www.youtube.com/playlist?list=PLIPZ2_p3RNHixlIaarIXGPy-eggJQMxd_" TargetMode="External"/><Relationship Id="rId26" Type="http://schemas.openxmlformats.org/officeDocument/2006/relationships/hyperlink" Target="https://www.youtube.com/playlist?list=PLG9aCp4uE-s17rFjWM8KchGlffXgOzzVP" TargetMode="External"/><Relationship Id="rId39" Type="http://schemas.openxmlformats.org/officeDocument/2006/relationships/hyperlink" Target="https://www.youtube.com/playlist?list=PLhLZ_zxDsyOIKbQfKFM05BLYRhUZ7JP-M" TargetMode="External"/><Relationship Id="rId21" Type="http://schemas.openxmlformats.org/officeDocument/2006/relationships/hyperlink" Target="https://www.youtube.com/playlist?list=PLG9aCp4uE-s17rFjWM8KchGlffXgOzzVP" TargetMode="External"/><Relationship Id="rId34" Type="http://schemas.openxmlformats.org/officeDocument/2006/relationships/hyperlink" Target="https://www.youtube.com/playlist?list=PLyqSpQzTE6M_JcleDbrVyPnE0PixKs2JE" TargetMode="External"/><Relationship Id="rId42" Type="http://schemas.openxmlformats.org/officeDocument/2006/relationships/hyperlink" Target="https://www.youtube.com/results?search_query=Vishvadeep+Gothi+operating+system+deadlock%2C+resource+allocation+graph%2C+Banker%27s+algorithm%2C+deadlock+prevention+avoidance" TargetMode="External"/><Relationship Id="rId47" Type="http://schemas.openxmlformats.org/officeDocument/2006/relationships/hyperlink" Target="https://www.youtube.com/results?search_query=Vishvadeep+Gothi+operating+system+memory+management%2C+paging%2C+page+table%2C+TLB%2C+effective+access+time%2C+segmentation" TargetMode="External"/><Relationship Id="rId50" Type="http://schemas.openxmlformats.org/officeDocument/2006/relationships/hyperlink" Target="https://www.youtube.com/results?search_query=Joydeep+Das+NPTEL+continuity+calculus+Joydeep+Das" TargetMode="External"/><Relationship Id="rId55" Type="http://schemas.openxmlformats.org/officeDocument/2006/relationships/hyperlink" Target="https://www.youtube.com/results?search_query=Joydeep+Das+NPTEL+differentiability+calculus+Joydeep+Das" TargetMode="External"/><Relationship Id="rId7" Type="http://schemas.openxmlformats.org/officeDocument/2006/relationships/hyperlink" Target="https://gateoverflow.in/exam/32/go2017-os-3" TargetMode="External"/><Relationship Id="rId2" Type="http://schemas.openxmlformats.org/officeDocument/2006/relationships/hyperlink" Target="https://www.youtube.com/playlist?list=PLIPZ2_p3RNHixlIaarIXGPy-eggJQMxd_" TargetMode="External"/><Relationship Id="rId16" Type="http://schemas.openxmlformats.org/officeDocument/2006/relationships/hyperlink" Target="https://www.youtube.com/playlist?list=PLG9aCp4uE-s17rFjWM8KchGlffXgOzzVP" TargetMode="External"/><Relationship Id="rId29" Type="http://schemas.openxmlformats.org/officeDocument/2006/relationships/hyperlink" Target="https://www.youtube.com/playlist?list=PLhLZ_zxDsyOIKbQfKFM05BLYRhUZ7JP-M" TargetMode="External"/><Relationship Id="rId11" Type="http://schemas.openxmlformats.org/officeDocument/2006/relationships/hyperlink" Target="https://www.youtube.com/playlist?list=PLG9aCp4uE-s17rFjWM8KchGlffXgOzzVP" TargetMode="External"/><Relationship Id="rId24" Type="http://schemas.openxmlformats.org/officeDocument/2006/relationships/hyperlink" Target="https://www.youtube.com/playlist?list=PLhLZ_zxDsyOIKbQfKFM05BLYRhUZ7JP-M" TargetMode="External"/><Relationship Id="rId32" Type="http://schemas.openxmlformats.org/officeDocument/2006/relationships/hyperlink" Target="https://www.youtube.com/results?search_query=Vishvadeep+Gothi+operating+system+process+synchronization%2C+critical+section%2C+Peterson%2C+test+and+set%2C+semaphores" TargetMode="External"/><Relationship Id="rId37" Type="http://schemas.openxmlformats.org/officeDocument/2006/relationships/hyperlink" Target="https://www.youtube.com/results?search_query=Vishvadeep+Gothi+operating+system+producer+consumer%2C+readers+writers%2C+dining+philosophers%2C+monitors" TargetMode="External"/><Relationship Id="rId40" Type="http://schemas.openxmlformats.org/officeDocument/2006/relationships/hyperlink" Target="https://www.youtube.com/results?search_query=gradeup+probability+GATE+problems+distributions" TargetMode="External"/><Relationship Id="rId45" Type="http://schemas.openxmlformats.org/officeDocument/2006/relationships/hyperlink" Target="https://www.youtube.com/results?search_query=Joydeep+Das+NPTEL+limits+calculus+Joydeep+Das" TargetMode="External"/><Relationship Id="rId53" Type="http://schemas.openxmlformats.org/officeDocument/2006/relationships/hyperlink" Target="https://www.youtube.com/playlist?list=PLIPZ2_p3RNHixlIaarIXGPy-eggJQMxd_" TargetMode="External"/><Relationship Id="rId58" Type="http://schemas.openxmlformats.org/officeDocument/2006/relationships/hyperlink" Target="https://www.youtube.com/playlist?list=PLIPZ2_p3RNHixlIaarIXGPy-eggJQMxd_" TargetMode="External"/><Relationship Id="rId5" Type="http://schemas.openxmlformats.org/officeDocument/2006/relationships/hyperlink" Target="https://gateoverflow.in/exam/32/go2017-os-1" TargetMode="External"/><Relationship Id="rId19" Type="http://schemas.openxmlformats.org/officeDocument/2006/relationships/hyperlink" Target="https://www.youtube.com/playlist?list=PLhLZ_zxDsyOIKbQfKFM05BLYRhUZ7JP-M" TargetMode="External"/><Relationship Id="rId4" Type="http://schemas.openxmlformats.org/officeDocument/2006/relationships/hyperlink" Target="https://github.com/GATEOverflow/GO-PDFs/releases/tag/gatecse-2025" TargetMode="External"/><Relationship Id="rId9" Type="http://schemas.openxmlformats.org/officeDocument/2006/relationships/hyperlink" Target="https://www.youtube.com/playlist?list=PLhLZ_zxDsyOIKbQfKFM05BLYRhUZ7JP-M" TargetMode="External"/><Relationship Id="rId14" Type="http://schemas.openxmlformats.org/officeDocument/2006/relationships/hyperlink" Target="https://www.youtube.com/playlist?list=PLhLZ_zxDsyOIKbQfKFM05BLYRhUZ7JP-M" TargetMode="External"/><Relationship Id="rId22" Type="http://schemas.openxmlformats.org/officeDocument/2006/relationships/hyperlink" Target="https://www.youtube.com/results?search_query=Vishvadeep+Gothi+operating+system+CPU+scheduling%2C+FCFS%2C+SJF%2C+SRTF%2C+priority+scheduling%2C+Gantt+chart" TargetMode="External"/><Relationship Id="rId27" Type="http://schemas.openxmlformats.org/officeDocument/2006/relationships/hyperlink" Target="https://www.youtube.com/results?search_query=Vishvadeep+Gothi+operating+system+round+robin%2C+multilevel+queue%2C+multilevel+feedback+queue%2C+scheduling+numericals" TargetMode="External"/><Relationship Id="rId30" Type="http://schemas.openxmlformats.org/officeDocument/2006/relationships/hyperlink" Target="https://www.youtube.com/results?search_query=gradeup+normal+distribution+standard+normal" TargetMode="External"/><Relationship Id="rId35" Type="http://schemas.openxmlformats.org/officeDocument/2006/relationships/hyperlink" Target="https://www.youtube.com/results?search_query=NPTEL+IIT+Madras+mean+median+mode+standard+deviation+statistics" TargetMode="External"/><Relationship Id="rId43" Type="http://schemas.openxmlformats.org/officeDocument/2006/relationships/hyperlink" Target="https://www.youtube.com/playlist?list=PLIPZ2_p3RNHixlIaarIXGPy-eggJQMxd_" TargetMode="External"/><Relationship Id="rId48" Type="http://schemas.openxmlformats.org/officeDocument/2006/relationships/hyperlink" Target="https://www.youtube.com/playlist?list=PLIPZ2_p3RNHixlIaarIXGPy-eggJQMxd_" TargetMode="External"/><Relationship Id="rId56" Type="http://schemas.openxmlformats.org/officeDocument/2006/relationships/hyperlink" Target="https://www.youtube.com/playlist?list=PLG9aCp4uE-s17rFjWM8KchGlffXgOzzVP" TargetMode="External"/><Relationship Id="rId8" Type="http://schemas.openxmlformats.org/officeDocument/2006/relationships/hyperlink" Target="https://gateoverflow.in/exam/148/operating-systems-gate2020-previous-gate-2" TargetMode="External"/><Relationship Id="rId51" Type="http://schemas.openxmlformats.org/officeDocument/2006/relationships/hyperlink" Target="https://www.youtube.com/playlist?list=PLG9aCp4uE-s17rFjWM8KchGlffXgOzzVP" TargetMode="External"/><Relationship Id="rId3" Type="http://schemas.openxmlformats.org/officeDocument/2006/relationships/hyperlink" Target="https://www.youtube.com/playlist?list=PLyqSpQzTE6M9SYI5RqwFYtFYab94gJpWk" TargetMode="External"/><Relationship Id="rId12" Type="http://schemas.openxmlformats.org/officeDocument/2006/relationships/hyperlink" Target="https://www.youtube.com/results?search_query=Vishvadeep+Gothi+operating+system+introduction+to+OS%2C+system+calls%2C+process%2C+PCB%2C+process+states%2C+fork" TargetMode="External"/><Relationship Id="rId17" Type="http://schemas.openxmlformats.org/officeDocument/2006/relationships/hyperlink" Target="https://www.youtube.com/results?search_query=Vishvadeep+Gothi+operating+system+threads%2C+multithreading+models%2C+inter+process+communication" TargetMode="External"/><Relationship Id="rId25" Type="http://schemas.openxmlformats.org/officeDocument/2006/relationships/hyperlink" Target="https://www.youtube.com/results?search_query=gradeup+exponential+distribution+memoryless" TargetMode="External"/><Relationship Id="rId33" Type="http://schemas.openxmlformats.org/officeDocument/2006/relationships/hyperlink" Target="https://www.youtube.com/playlist?list=PLIPZ2_p3RNHixlIaarIXGPy-eggJQMxd_" TargetMode="External"/><Relationship Id="rId38" Type="http://schemas.openxmlformats.org/officeDocument/2006/relationships/hyperlink" Target="https://www.youtube.com/playlist?list=PLIPZ2_p3RNHixlIaarIXGPy-eggJQMxd_" TargetMode="External"/><Relationship Id="rId46" Type="http://schemas.openxmlformats.org/officeDocument/2006/relationships/hyperlink" Target="https://www.youtube.com/playlist?list=PLG9aCp4uE-s17rFjWM8KchGlffXgOzzVP" TargetMode="External"/><Relationship Id="rId20" Type="http://schemas.openxmlformats.org/officeDocument/2006/relationships/hyperlink" Target="https://www.youtube.com/results?search_query=gradeup+uniform+distribution" TargetMode="External"/><Relationship Id="rId41" Type="http://schemas.openxmlformats.org/officeDocument/2006/relationships/hyperlink" Target="https://www.youtube.com/playlist?list=PLG9aCp4uE-s17rFjWM8KchGlffXgOzzVP" TargetMode="External"/><Relationship Id="rId54" Type="http://schemas.openxmlformats.org/officeDocument/2006/relationships/hyperlink" Target="https://www.youtube.com/playlist?list=PLEAYkSg4uSQ0q9CDkHkJGdUTQOgH1DLDj" TargetMode="External"/><Relationship Id="rId1" Type="http://schemas.openxmlformats.org/officeDocument/2006/relationships/hyperlink" Target="https://www.youtube.com/playlist?list=PLG9aCp4uE-s17rFjWM8KchGlffXgOzzVP" TargetMode="External"/><Relationship Id="rId6" Type="http://schemas.openxmlformats.org/officeDocument/2006/relationships/hyperlink" Target="https://gateoverflow.in/exam/32/go2017-os-2" TargetMode="External"/><Relationship Id="rId15" Type="http://schemas.openxmlformats.org/officeDocument/2006/relationships/hyperlink" Target="https://www.youtube.com/results?search_query=gradeup+poisson+distribution" TargetMode="External"/><Relationship Id="rId23" Type="http://schemas.openxmlformats.org/officeDocument/2006/relationships/hyperlink" Target="https://www.youtube.com/playlist?list=PLIPZ2_p3RNHixlIaarIXGPy-eggJQMxd_" TargetMode="External"/><Relationship Id="rId28" Type="http://schemas.openxmlformats.org/officeDocument/2006/relationships/hyperlink" Target="https://www.youtube.com/playlist?list=PLIPZ2_p3RNHixlIaarIXGPy-eggJQMxd_" TargetMode="External"/><Relationship Id="rId36" Type="http://schemas.openxmlformats.org/officeDocument/2006/relationships/hyperlink" Target="https://www.youtube.com/playlist?list=PLG9aCp4uE-s17rFjWM8KchGlffXgOzzVP" TargetMode="External"/><Relationship Id="rId49" Type="http://schemas.openxmlformats.org/officeDocument/2006/relationships/hyperlink" Target="https://www.youtube.com/playlist?list=PLEAYkSg4uSQ0q9CDkHkJGdUTQOgH1DLDj" TargetMode="External"/><Relationship Id="rId57" Type="http://schemas.openxmlformats.org/officeDocument/2006/relationships/hyperlink" Target="https://www.youtube.com/results?search_query=Vishvadeep+Gothi+operating+system+file+system%2C+file+allocation+methods%2C+inode%2C+disk+scheduling%2C+SCAN+C-SCAN%2C+I%2FO" TargetMode="External"/><Relationship Id="rId10" Type="http://schemas.openxmlformats.org/officeDocument/2006/relationships/hyperlink" Target="https://www.youtube.com/results?search_query=gradeup+binomial+distribution" TargetMode="External"/><Relationship Id="rId31" Type="http://schemas.openxmlformats.org/officeDocument/2006/relationships/hyperlink" Target="https://www.youtube.com/playlist?list=PLG9aCp4uE-s17rFjWM8KchGlffXgOzzVP" TargetMode="External"/><Relationship Id="rId44" Type="http://schemas.openxmlformats.org/officeDocument/2006/relationships/hyperlink" Target="https://www.youtube.com/playlist?list=PLEAYkSg4uSQ0q9CDkHkJGdUTQOgH1DLDj" TargetMode="External"/><Relationship Id="rId52" Type="http://schemas.openxmlformats.org/officeDocument/2006/relationships/hyperlink" Target="https://www.youtube.com/results?search_query=Vishvadeep+Gothi+operating+system+virtual+memory%2C+demand+paging%2C+page+replacement%2C+FIFO+LRU+optimal%2C+Belady%2C+thrashing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EAYkSg4uSQ0q9CDkHkJGdUTQOgH1DLDj" TargetMode="External"/><Relationship Id="rId18" Type="http://schemas.openxmlformats.org/officeDocument/2006/relationships/hyperlink" Target="https://www.youtube.com/playlist?list=PLEAYkSg4uSQ0q9CDkHkJGdUTQOgH1DLDj" TargetMode="External"/><Relationship Id="rId26" Type="http://schemas.openxmlformats.org/officeDocument/2006/relationships/hyperlink" Target="https://www.youtube.com/results?search_query=Amit+Khurana+computer+networks+ALOHA%2C+CSMA%2FCD%2C+Ethernet%2C+minimum+frame+size%2C+bridges+and+switches" TargetMode="External"/><Relationship Id="rId39" Type="http://schemas.openxmlformats.org/officeDocument/2006/relationships/hyperlink" Target="https://www.youtube.com/results?search_query=Discrete+Mathematics+GATE+PYQ+discrete+mathematics+GATE+PYQ" TargetMode="External"/><Relationship Id="rId21" Type="http://schemas.openxmlformats.org/officeDocument/2006/relationships/hyperlink" Target="https://www.youtube.com/results?search_query=Amit+Khurana+computer+networks+stop+and+wait%2C+go+back+N%2C+selective+repeat%2C+sliding+window%2C+efficiency" TargetMode="External"/><Relationship Id="rId34" Type="http://schemas.openxmlformats.org/officeDocument/2006/relationships/hyperlink" Target="https://www.youtube.com/results?search_query=GO+Classes+calculus+GATE+PYQ" TargetMode="External"/><Relationship Id="rId42" Type="http://schemas.openxmlformats.org/officeDocument/2006/relationships/hyperlink" Target="https://www.youtube.com/playlist?list=PLIPZ2_p3RNHim3NUSNOb7ffyhaE5MSkmE" TargetMode="External"/><Relationship Id="rId47" Type="http://schemas.openxmlformats.org/officeDocument/2006/relationships/hyperlink" Target="https://www.youtube.com/playlist?list=PLIPZ2_p3RNHim3NUSNOb7ffyhaE5MSkmE" TargetMode="External"/><Relationship Id="rId7" Type="http://schemas.openxmlformats.org/officeDocument/2006/relationships/hyperlink" Target="https://gateoverflow.in/exam/144/computer-networks-gate2020-previous-gate-2" TargetMode="External"/><Relationship Id="rId2" Type="http://schemas.openxmlformats.org/officeDocument/2006/relationships/hyperlink" Target="https://www.youtube.com/playlist?list=PLIPZ2_p3RNHim3NUSNOb7ffyhaE5MSkmE" TargetMode="External"/><Relationship Id="rId16" Type="http://schemas.openxmlformats.org/officeDocument/2006/relationships/hyperlink" Target="https://www.youtube.com/results?search_query=Amit+Khurana+computer+networks+error+detection%2C+CRC%2C+checksum%2C+Hamming+code%2C+framing" TargetMode="External"/><Relationship Id="rId29" Type="http://schemas.openxmlformats.org/officeDocument/2006/relationships/hyperlink" Target="https://www.youtube.com/results?search_query=GO+Classes+calculus+GO+Classes+integration" TargetMode="External"/><Relationship Id="rId1" Type="http://schemas.openxmlformats.org/officeDocument/2006/relationships/hyperlink" Target="https://www.youtube.com/playlist?list=PLC36xJgs4dxHT-TxTy3U1slr5RaBJGaLd" TargetMode="External"/><Relationship Id="rId6" Type="http://schemas.openxmlformats.org/officeDocument/2006/relationships/hyperlink" Target="https://gateoverflow.in/exam/143/computer-networks-gate2020-previous-gate-1" TargetMode="External"/><Relationship Id="rId11" Type="http://schemas.openxmlformats.org/officeDocument/2006/relationships/hyperlink" Target="https://www.youtube.com/results?search_query=Amit+Khurana+computer+networks+OSI+model%2C+TCP%2FIP+model%2C+switching%2C+delays%2C+throughput%2C+bandwidth+delay+product" TargetMode="External"/><Relationship Id="rId24" Type="http://schemas.openxmlformats.org/officeDocument/2006/relationships/hyperlink" Target="https://www.youtube.com/results?search_query=Joydeep+Das+NPTEL+definite+integral+properties" TargetMode="External"/><Relationship Id="rId32" Type="http://schemas.openxmlformats.org/officeDocument/2006/relationships/hyperlink" Target="https://www.youtube.com/playlist?list=PLIPZ2_p3RNHim3NUSNOb7ffyhaE5MSkmE" TargetMode="External"/><Relationship Id="rId37" Type="http://schemas.openxmlformats.org/officeDocument/2006/relationships/hyperlink" Target="https://www.youtube.com/playlist?list=PLIPZ2_p3RNHim3NUSNOb7ffyhaE5MSkmE" TargetMode="External"/><Relationship Id="rId40" Type="http://schemas.openxmlformats.org/officeDocument/2006/relationships/hyperlink" Target="https://www.youtube.com/playlist?list=PLC36xJgs4dxHT-TxTy3U1slr5RaBJGaLd" TargetMode="External"/><Relationship Id="rId45" Type="http://schemas.openxmlformats.org/officeDocument/2006/relationships/hyperlink" Target="https://www.youtube.com/playlist?list=PLC36xJgs4dxHT-TxTy3U1slr5RaBJGaLd" TargetMode="External"/><Relationship Id="rId5" Type="http://schemas.openxmlformats.org/officeDocument/2006/relationships/hyperlink" Target="https://gateoverflow.in/exam/49/computer-networks" TargetMode="External"/><Relationship Id="rId15" Type="http://schemas.openxmlformats.org/officeDocument/2006/relationships/hyperlink" Target="https://www.youtube.com/playlist?list=PLC36xJgs4dxHT-TxTy3U1slr5RaBJGaLd" TargetMode="External"/><Relationship Id="rId23" Type="http://schemas.openxmlformats.org/officeDocument/2006/relationships/hyperlink" Target="https://www.youtube.com/playlist?list=PLEAYkSg4uSQ0q9CDkHkJGdUTQOgH1DLDj" TargetMode="External"/><Relationship Id="rId28" Type="http://schemas.openxmlformats.org/officeDocument/2006/relationships/hyperlink" Target="https://www.youtube.com/playlist?list=PLIPZ2_p3RNHi3R5H_NDKCB3aGvtLYlLrz" TargetMode="External"/><Relationship Id="rId36" Type="http://schemas.openxmlformats.org/officeDocument/2006/relationships/hyperlink" Target="https://www.youtube.com/results?search_query=Amit+Khurana+computer+networks+distance+vector+routing%2C+link+state+routing%2C+RIP+OSPF+BGP" TargetMode="External"/><Relationship Id="rId10" Type="http://schemas.openxmlformats.org/officeDocument/2006/relationships/hyperlink" Target="https://www.youtube.com/playlist?list=PLC36xJgs4dxHT-TxTy3U1slr5RaBJGaLd" TargetMode="External"/><Relationship Id="rId19" Type="http://schemas.openxmlformats.org/officeDocument/2006/relationships/hyperlink" Target="https://www.youtube.com/results?search_query=Joydeep+Das+NPTEL+integration+techniques+calculus" TargetMode="External"/><Relationship Id="rId31" Type="http://schemas.openxmlformats.org/officeDocument/2006/relationships/hyperlink" Target="https://www.youtube.com/results?search_query=Amit+Khurana+computer+networks+IPv4+addressing%2C+subnetting%2C+CIDR%2C+NAT%2C+IP+fragmentation%2C+ARP+ICMP+DHCP" TargetMode="External"/><Relationship Id="rId44" Type="http://schemas.openxmlformats.org/officeDocument/2006/relationships/hyperlink" Target="https://www.youtube.com/results?search_query=GO+Classes+linear+algebra+GATE+PYQ" TargetMode="External"/><Relationship Id="rId4" Type="http://schemas.openxmlformats.org/officeDocument/2006/relationships/hyperlink" Target="https://github.com/GATEOverflow/GO-PDFs/releases/tag/gatecse-2025" TargetMode="External"/><Relationship Id="rId9" Type="http://schemas.openxmlformats.org/officeDocument/2006/relationships/hyperlink" Target="https://www.youtube.com/results?search_query=Joydeep+Das+NPTEL+mean+value+theorem+Rolle+Lagrange" TargetMode="External"/><Relationship Id="rId14" Type="http://schemas.openxmlformats.org/officeDocument/2006/relationships/hyperlink" Target="https://www.youtube.com/results?search_query=Joydeep+Das+NPTEL+maxima+minima+calculus" TargetMode="External"/><Relationship Id="rId22" Type="http://schemas.openxmlformats.org/officeDocument/2006/relationships/hyperlink" Target="https://www.youtube.com/playlist?list=PLIPZ2_p3RNHim3NUSNOb7ffyhaE5MSkmE" TargetMode="External"/><Relationship Id="rId27" Type="http://schemas.openxmlformats.org/officeDocument/2006/relationships/hyperlink" Target="https://www.youtube.com/playlist?list=PLIPZ2_p3RNHim3NUSNOb7ffyhaE5MSkmE" TargetMode="External"/><Relationship Id="rId30" Type="http://schemas.openxmlformats.org/officeDocument/2006/relationships/hyperlink" Target="https://www.youtube.com/playlist?list=PLC36xJgs4dxHT-TxTy3U1slr5RaBJGaLd" TargetMode="External"/><Relationship Id="rId35" Type="http://schemas.openxmlformats.org/officeDocument/2006/relationships/hyperlink" Target="https://www.youtube.com/playlist?list=PLC36xJgs4dxHT-TxTy3U1slr5RaBJGaLd" TargetMode="External"/><Relationship Id="rId43" Type="http://schemas.openxmlformats.org/officeDocument/2006/relationships/hyperlink" Target="https://www.youtube.com/playlist?list=PLIPZ2_p3RNHhGLQ1ZT37KLpBMAD90CM4_" TargetMode="External"/><Relationship Id="rId8" Type="http://schemas.openxmlformats.org/officeDocument/2006/relationships/hyperlink" Target="https://www.youtube.com/playlist?list=PLEAYkSg4uSQ0q9CDkHkJGdUTQOgH1DLDj" TargetMode="External"/><Relationship Id="rId3" Type="http://schemas.openxmlformats.org/officeDocument/2006/relationships/hyperlink" Target="https://www.youtube.com/playlist?list=PLbRMhDVUMngf-peFloB7kyiA40EptH1up" TargetMode="External"/><Relationship Id="rId12" Type="http://schemas.openxmlformats.org/officeDocument/2006/relationships/hyperlink" Target="https://www.youtube.com/playlist?list=PLIPZ2_p3RNHim3NUSNOb7ffyhaE5MSkmE" TargetMode="External"/><Relationship Id="rId17" Type="http://schemas.openxmlformats.org/officeDocument/2006/relationships/hyperlink" Target="https://www.youtube.com/playlist?list=PLIPZ2_p3RNHim3NUSNOb7ffyhaE5MSkmE" TargetMode="External"/><Relationship Id="rId25" Type="http://schemas.openxmlformats.org/officeDocument/2006/relationships/hyperlink" Target="https://www.youtube.com/playlist?list=PLC36xJgs4dxHT-TxTy3U1slr5RaBJGaLd" TargetMode="External"/><Relationship Id="rId33" Type="http://schemas.openxmlformats.org/officeDocument/2006/relationships/hyperlink" Target="https://www.youtube.com/playlist?list=PLIPZ2_p3RNHi3R5H_NDKCB3aGvtLYlLrz" TargetMode="External"/><Relationship Id="rId38" Type="http://schemas.openxmlformats.org/officeDocument/2006/relationships/hyperlink" Target="https://www.youtube.com/playlist?list=PL3eEXnCBViH-WZfR3PRFfYs7WjUgcBlAZ" TargetMode="External"/><Relationship Id="rId46" Type="http://schemas.openxmlformats.org/officeDocument/2006/relationships/hyperlink" Target="https://www.youtube.com/results?search_query=Amit+Khurana+computer+networks+DNS%2C+HTTP%2C+SMTP%2C+FTP%2C+application+layer%2C+network+security+basics" TargetMode="External"/><Relationship Id="rId20" Type="http://schemas.openxmlformats.org/officeDocument/2006/relationships/hyperlink" Target="https://www.youtube.com/playlist?list=PLC36xJgs4dxHT-TxTy3U1slr5RaBJGaLd" TargetMode="External"/><Relationship Id="rId41" Type="http://schemas.openxmlformats.org/officeDocument/2006/relationships/hyperlink" Target="https://www.youtube.com/results?search_query=Amit+Khurana+computer+networks+UDP%2C+TCP%2C+three+way+handshake%2C+TCP+congestion+control%2C+slow+start%2C+socket+programming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results?search_query=GO+Classes+subgroup+cyclic+group+Lagrange+theorem" TargetMode="External"/><Relationship Id="rId21" Type="http://schemas.openxmlformats.org/officeDocument/2006/relationships/hyperlink" Target="https://www.youtube.com/playlist?list=PLIPZ2_p3RNHjHnhdkPWFAlcizVQJ8w4TX" TargetMode="External"/><Relationship Id="rId42" Type="http://schemas.openxmlformats.org/officeDocument/2006/relationships/hyperlink" Target="https://www.youtube.com/results?search_query=GO+Classes+recurrence+relation+characteristic+equation" TargetMode="External"/><Relationship Id="rId47" Type="http://schemas.openxmlformats.org/officeDocument/2006/relationships/hyperlink" Target="https://www.youtube.com/playlist?list=PLIPZ2_p3RNHhGLQ1ZT37KLpBMAD90CM4_" TargetMode="External"/><Relationship Id="rId63" Type="http://schemas.openxmlformats.org/officeDocument/2006/relationships/hyperlink" Target="https://www.youtube.com/playlist?list=PLhLZ_zxDsyOIKbQfKFM05BLYRhUZ7JP-M" TargetMode="External"/><Relationship Id="rId68" Type="http://schemas.openxmlformats.org/officeDocument/2006/relationships/hyperlink" Target="https://www.youtube.com/results?search_query=gradeup+expectation+variance+standard+deviation" TargetMode="External"/><Relationship Id="rId84" Type="http://schemas.openxmlformats.org/officeDocument/2006/relationships/hyperlink" Target="https://www.youtube.com/results?search_query=Joydeep+Das+NPTEL+limits+calculus+Joydeep+Das" TargetMode="External"/><Relationship Id="rId89" Type="http://schemas.openxmlformats.org/officeDocument/2006/relationships/hyperlink" Target="https://www.youtube.com/playlist?list=PLEAYkSg4uSQ0q9CDkHkJGdUTQOgH1DLDj" TargetMode="External"/><Relationship Id="rId16" Type="http://schemas.openxmlformats.org/officeDocument/2006/relationships/hyperlink" Target="https://www.youtube.com/results?search_query=GO+Classes+equivalence+relation+partition+closure" TargetMode="External"/><Relationship Id="rId11" Type="http://schemas.openxmlformats.org/officeDocument/2006/relationships/hyperlink" Target="https://www.youtube.com/playlist?list=PLIPZ2_p3RNHjHnhdkPWFAlcizVQJ8w4TX" TargetMode="External"/><Relationship Id="rId32" Type="http://schemas.openxmlformats.org/officeDocument/2006/relationships/hyperlink" Target="https://www.youtube.com/results?search_query=GO+Classes+trees+Euler+Hamiltonian+graph" TargetMode="External"/><Relationship Id="rId37" Type="http://schemas.openxmlformats.org/officeDocument/2006/relationships/hyperlink" Target="https://www.youtube.com/playlist?list=PLIPZ2_p3RNHgm_UqwqckMxM68HS4BkjYY" TargetMode="External"/><Relationship Id="rId53" Type="http://schemas.openxmlformats.org/officeDocument/2006/relationships/hyperlink" Target="https://www.youtube.com/playlist?list=PLIPZ2_p3RNHhGLQ1ZT37KLpBMAD90CM4_" TargetMode="External"/><Relationship Id="rId58" Type="http://schemas.openxmlformats.org/officeDocument/2006/relationships/hyperlink" Target="https://www.youtube.com/results?search_query=GO+Classes+LU+decomposition" TargetMode="External"/><Relationship Id="rId74" Type="http://schemas.openxmlformats.org/officeDocument/2006/relationships/hyperlink" Target="https://www.youtube.com/results?search_query=gradeup+uniform+distribution" TargetMode="External"/><Relationship Id="rId79" Type="http://schemas.openxmlformats.org/officeDocument/2006/relationships/hyperlink" Target="https://www.youtube.com/playlist?list=PLyqSpQzTE6M_JcleDbrVyPnE0PixKs2JE" TargetMode="External"/><Relationship Id="rId102" Type="http://schemas.openxmlformats.org/officeDocument/2006/relationships/hyperlink" Target="https://www.youtube.com/results?search_query=Discrete+Mathematics+GATE+PYQ+discrete+mathematics+GATE+PYQ" TargetMode="External"/><Relationship Id="rId5" Type="http://schemas.openxmlformats.org/officeDocument/2006/relationships/hyperlink" Target="https://www.youtube.com/playlist?list=PLIPZ2_p3RNHillKxh1_iFeZhy9MftHeWW" TargetMode="External"/><Relationship Id="rId90" Type="http://schemas.openxmlformats.org/officeDocument/2006/relationships/hyperlink" Target="https://www.youtube.com/results?search_query=Joydeep+Das+NPTEL+mean+value+theorem+Rolle+Lagrange" TargetMode="External"/><Relationship Id="rId95" Type="http://schemas.openxmlformats.org/officeDocument/2006/relationships/hyperlink" Target="https://www.youtube.com/playlist?list=PLEAYkSg4uSQ0q9CDkHkJGdUTQOgH1DLDj" TargetMode="External"/><Relationship Id="rId22" Type="http://schemas.openxmlformats.org/officeDocument/2006/relationships/hyperlink" Target="https://www.youtube.com/results?search_query=GO+Classes+lattice+distributive+complemented+Boolean" TargetMode="External"/><Relationship Id="rId27" Type="http://schemas.openxmlformats.org/officeDocument/2006/relationships/hyperlink" Target="https://www.youtube.com/playlist?list=PLIPZ2_p3RNHjQoj0k-BlI9zXE0QKdl-lI" TargetMode="External"/><Relationship Id="rId43" Type="http://schemas.openxmlformats.org/officeDocument/2006/relationships/hyperlink" Target="https://www.youtube.com/playlist?list=PLIPZ2_p3RNHgm_UqwqckMxM68HS4BkjYY" TargetMode="External"/><Relationship Id="rId48" Type="http://schemas.openxmlformats.org/officeDocument/2006/relationships/hyperlink" Target="https://www.youtube.com/results?search_query=GO+Classes+determinant+properties+linear+algebra" TargetMode="External"/><Relationship Id="rId64" Type="http://schemas.openxmlformats.org/officeDocument/2006/relationships/hyperlink" Target="https://www.youtube.com/results?search_query=gradeup+Bayes+theorem+total+probability" TargetMode="External"/><Relationship Id="rId69" Type="http://schemas.openxmlformats.org/officeDocument/2006/relationships/hyperlink" Target="https://www.youtube.com/playlist?list=PLhLZ_zxDsyOIKbQfKFM05BLYRhUZ7JP-M" TargetMode="External"/><Relationship Id="rId80" Type="http://schemas.openxmlformats.org/officeDocument/2006/relationships/hyperlink" Target="https://www.youtube.com/results?search_query=NPTEL+IIT+Madras+mean+median+mode+standard+deviation+statistics" TargetMode="External"/><Relationship Id="rId85" Type="http://schemas.openxmlformats.org/officeDocument/2006/relationships/hyperlink" Target="https://www.youtube.com/playlist?list=PLEAYkSg4uSQ0q9CDkHkJGdUTQOgH1DLDj" TargetMode="External"/><Relationship Id="rId12" Type="http://schemas.openxmlformats.org/officeDocument/2006/relationships/hyperlink" Target="https://www.youtube.com/results?search_query=GO+Classes+set+theory+operations+power+set+cardinality" TargetMode="External"/><Relationship Id="rId17" Type="http://schemas.openxmlformats.org/officeDocument/2006/relationships/hyperlink" Target="https://www.youtube.com/playlist?list=PLIPZ2_p3RNHjHnhdkPWFAlcizVQJ8w4TX" TargetMode="External"/><Relationship Id="rId25" Type="http://schemas.openxmlformats.org/officeDocument/2006/relationships/hyperlink" Target="https://www.youtube.com/playlist?list=PLIPZ2_p3RNHhXves0XVa8d5O6F4rUi3KR" TargetMode="External"/><Relationship Id="rId33" Type="http://schemas.openxmlformats.org/officeDocument/2006/relationships/hyperlink" Target="https://www.youtube.com/playlist?list=PLIPZ2_p3RNHjQoj0k-BlI9zXE0QKdl-lI" TargetMode="External"/><Relationship Id="rId38" Type="http://schemas.openxmlformats.org/officeDocument/2006/relationships/hyperlink" Target="https://www.youtube.com/results?search_query=GO+Classes+counting+permutation+combination+basic+principles" TargetMode="External"/><Relationship Id="rId46" Type="http://schemas.openxmlformats.org/officeDocument/2006/relationships/hyperlink" Target="https://www.youtube.com/results?search_query=GO+Classes+linear+algebra+matrices+types+operations" TargetMode="External"/><Relationship Id="rId59" Type="http://schemas.openxmlformats.org/officeDocument/2006/relationships/hyperlink" Target="https://www.youtube.com/playlist?list=PLhLZ_zxDsyOIKbQfKFM05BLYRhUZ7JP-M" TargetMode="External"/><Relationship Id="rId67" Type="http://schemas.openxmlformats.org/officeDocument/2006/relationships/hyperlink" Target="https://www.youtube.com/playlist?list=PLhLZ_zxDsyOIKbQfKFM05BLYRhUZ7JP-M" TargetMode="External"/><Relationship Id="rId103" Type="http://schemas.openxmlformats.org/officeDocument/2006/relationships/hyperlink" Target="https://www.youtube.com/playlist?list=PLIPZ2_p3RNHhGLQ1ZT37KLpBMAD90CM4_" TargetMode="External"/><Relationship Id="rId20" Type="http://schemas.openxmlformats.org/officeDocument/2006/relationships/hyperlink" Target="https://www.youtube.com/results?search_query=GO+Classes+partial+order+Hasse+diagram+poset" TargetMode="External"/><Relationship Id="rId41" Type="http://schemas.openxmlformats.org/officeDocument/2006/relationships/hyperlink" Target="https://www.youtube.com/playlist?list=PLIPZ2_p3RNHhhTH0o1JBMgscMUvxs4E_4" TargetMode="External"/><Relationship Id="rId54" Type="http://schemas.openxmlformats.org/officeDocument/2006/relationships/hyperlink" Target="https://www.youtube.com/results?search_query=GO+Classes+eigenvalues+eigenvectors" TargetMode="External"/><Relationship Id="rId62" Type="http://schemas.openxmlformats.org/officeDocument/2006/relationships/hyperlink" Target="https://www.youtube.com/results?search_query=gradeup+conditional+probability+independent+events" TargetMode="External"/><Relationship Id="rId70" Type="http://schemas.openxmlformats.org/officeDocument/2006/relationships/hyperlink" Target="https://www.youtube.com/results?search_query=gradeup+binomial+distribution" TargetMode="External"/><Relationship Id="rId75" Type="http://schemas.openxmlformats.org/officeDocument/2006/relationships/hyperlink" Target="https://www.youtube.com/playlist?list=PLhLZ_zxDsyOIKbQfKFM05BLYRhUZ7JP-M" TargetMode="External"/><Relationship Id="rId83" Type="http://schemas.openxmlformats.org/officeDocument/2006/relationships/hyperlink" Target="https://www.youtube.com/playlist?list=PLEAYkSg4uSQ0q9CDkHkJGdUTQOgH1DLDj" TargetMode="External"/><Relationship Id="rId88" Type="http://schemas.openxmlformats.org/officeDocument/2006/relationships/hyperlink" Target="https://www.youtube.com/results?search_query=Joydeep+Das+NPTEL+differentiability+calculus+Joydeep+Das" TargetMode="External"/><Relationship Id="rId91" Type="http://schemas.openxmlformats.org/officeDocument/2006/relationships/hyperlink" Target="https://www.youtube.com/playlist?list=PLEAYkSg4uSQ0q9CDkHkJGdUTQOgH1DLDj" TargetMode="External"/><Relationship Id="rId96" Type="http://schemas.openxmlformats.org/officeDocument/2006/relationships/hyperlink" Target="https://www.youtube.com/results?search_query=Joydeep+Das+NPTEL+definite+integral+properties" TargetMode="External"/><Relationship Id="rId1" Type="http://schemas.openxmlformats.org/officeDocument/2006/relationships/hyperlink" Target="https://www.youtube.com/playlist?list=PLIPZ2_p3RNHillKxh1_iFeZhy9MftHeWW" TargetMode="External"/><Relationship Id="rId6" Type="http://schemas.openxmlformats.org/officeDocument/2006/relationships/hyperlink" Target="https://www.youtube.com/results?search_query=GO+Classes+rules+of+inference+validity+functional+completeness" TargetMode="External"/><Relationship Id="rId15" Type="http://schemas.openxmlformats.org/officeDocument/2006/relationships/hyperlink" Target="https://www.youtube.com/playlist?list=PLIPZ2_p3RNHjHnhdkPWFAlcizVQJ8w4TX" TargetMode="External"/><Relationship Id="rId23" Type="http://schemas.openxmlformats.org/officeDocument/2006/relationships/hyperlink" Target="https://www.youtube.com/playlist?list=PLIPZ2_p3RNHhXves0XVa8d5O6F4rUi3KR" TargetMode="External"/><Relationship Id="rId28" Type="http://schemas.openxmlformats.org/officeDocument/2006/relationships/hyperlink" Target="https://www.youtube.com/results?search_query=GO+Classes+graph+theory+basics+degree+handshake+isomorphism" TargetMode="External"/><Relationship Id="rId36" Type="http://schemas.openxmlformats.org/officeDocument/2006/relationships/hyperlink" Target="https://www.youtube.com/results?search_query=GO+Classes+graph+colouring+chromatic+number+clique" TargetMode="External"/><Relationship Id="rId49" Type="http://schemas.openxmlformats.org/officeDocument/2006/relationships/hyperlink" Target="https://www.youtube.com/playlist?list=PLIPZ2_p3RNHhGLQ1ZT37KLpBMAD90CM4_" TargetMode="External"/><Relationship Id="rId57" Type="http://schemas.openxmlformats.org/officeDocument/2006/relationships/hyperlink" Target="https://www.youtube.com/playlist?list=PLIPZ2_p3RNHhGLQ1ZT37KLpBMAD90CM4_" TargetMode="External"/><Relationship Id="rId10" Type="http://schemas.openxmlformats.org/officeDocument/2006/relationships/hyperlink" Target="https://www.youtube.com/results?search_query=GO+Classes+first+order+logic+nested+quantifiers+translation" TargetMode="External"/><Relationship Id="rId31" Type="http://schemas.openxmlformats.org/officeDocument/2006/relationships/hyperlink" Target="https://www.youtube.com/playlist?list=PLIPZ2_p3RNHjQoj0k-BlI9zXE0QKdl-lI" TargetMode="External"/><Relationship Id="rId44" Type="http://schemas.openxmlformats.org/officeDocument/2006/relationships/hyperlink" Target="https://www.youtube.com/results?search_query=GO+Classes+generating+function+counting+recurrence" TargetMode="External"/><Relationship Id="rId52" Type="http://schemas.openxmlformats.org/officeDocument/2006/relationships/hyperlink" Target="https://www.youtube.com/results?search_query=GO+Classes+system+of+linear+equations+consistency+rank" TargetMode="External"/><Relationship Id="rId60" Type="http://schemas.openxmlformats.org/officeDocument/2006/relationships/hyperlink" Target="https://www.youtube.com/results?search_query=gradeup+probability+basics+sample+space+axioms" TargetMode="External"/><Relationship Id="rId65" Type="http://schemas.openxmlformats.org/officeDocument/2006/relationships/hyperlink" Target="https://www.youtube.com/playlist?list=PLhLZ_zxDsyOIKbQfKFM05BLYRhUZ7JP-M" TargetMode="External"/><Relationship Id="rId73" Type="http://schemas.openxmlformats.org/officeDocument/2006/relationships/hyperlink" Target="https://www.youtube.com/playlist?list=PLhLZ_zxDsyOIKbQfKFM05BLYRhUZ7JP-M" TargetMode="External"/><Relationship Id="rId78" Type="http://schemas.openxmlformats.org/officeDocument/2006/relationships/hyperlink" Target="https://www.youtube.com/results?search_query=gradeup+normal+distribution+standard+normal" TargetMode="External"/><Relationship Id="rId81" Type="http://schemas.openxmlformats.org/officeDocument/2006/relationships/hyperlink" Target="https://www.youtube.com/playlist?list=PLhLZ_zxDsyOIKbQfKFM05BLYRhUZ7JP-M" TargetMode="External"/><Relationship Id="rId86" Type="http://schemas.openxmlformats.org/officeDocument/2006/relationships/hyperlink" Target="https://www.youtube.com/results?search_query=Joydeep+Das+NPTEL+continuity+calculus+Joydeep+Das" TargetMode="External"/><Relationship Id="rId94" Type="http://schemas.openxmlformats.org/officeDocument/2006/relationships/hyperlink" Target="https://www.youtube.com/results?search_query=Joydeep+Das+NPTEL+integration+techniques+calculus" TargetMode="External"/><Relationship Id="rId99" Type="http://schemas.openxmlformats.org/officeDocument/2006/relationships/hyperlink" Target="https://www.youtube.com/playlist?list=PLIPZ2_p3RNHi3R5H_NDKCB3aGvtLYlLrz" TargetMode="External"/><Relationship Id="rId101" Type="http://schemas.openxmlformats.org/officeDocument/2006/relationships/hyperlink" Target="https://www.youtube.com/playlist?list=PL3eEXnCBViH-WZfR3PRFfYs7WjUgcBlAZ" TargetMode="External"/><Relationship Id="rId4" Type="http://schemas.openxmlformats.org/officeDocument/2006/relationships/hyperlink" Target="https://www.youtube.com/results?search_query=GO+Classes+tautology+logical+equivalence+normal+forms" TargetMode="External"/><Relationship Id="rId9" Type="http://schemas.openxmlformats.org/officeDocument/2006/relationships/hyperlink" Target="https://www.youtube.com/playlist?list=PLIPZ2_p3RNHillKxh1_iFeZhy9MftHeWW" TargetMode="External"/><Relationship Id="rId13" Type="http://schemas.openxmlformats.org/officeDocument/2006/relationships/hyperlink" Target="https://www.youtube.com/playlist?list=PLIPZ2_p3RNHjHnhdkPWFAlcizVQJ8w4TX" TargetMode="External"/><Relationship Id="rId18" Type="http://schemas.openxmlformats.org/officeDocument/2006/relationships/hyperlink" Target="https://www.youtube.com/results?search_query=GO+Classes+functions+one+one+onto+bijective" TargetMode="External"/><Relationship Id="rId39" Type="http://schemas.openxmlformats.org/officeDocument/2006/relationships/hyperlink" Target="https://www.youtube.com/playlist?list=PLIPZ2_p3RNHgm_UqwqckMxM68HS4BkjYY" TargetMode="External"/><Relationship Id="rId34" Type="http://schemas.openxmlformats.org/officeDocument/2006/relationships/hyperlink" Target="https://www.youtube.com/results?search_query=GO+Classes+planar+graph+matching+Hall+theorem" TargetMode="External"/><Relationship Id="rId50" Type="http://schemas.openxmlformats.org/officeDocument/2006/relationships/hyperlink" Target="https://www.youtube.com/results?search_query=GO+Classes+rank+inverse+of+matrix" TargetMode="External"/><Relationship Id="rId55" Type="http://schemas.openxmlformats.org/officeDocument/2006/relationships/hyperlink" Target="https://www.youtube.com/playlist?list=PLIPZ2_p3RNHhGLQ1ZT37KLpBMAD90CM4_" TargetMode="External"/><Relationship Id="rId76" Type="http://schemas.openxmlformats.org/officeDocument/2006/relationships/hyperlink" Target="https://www.youtube.com/results?search_query=gradeup+exponential+distribution+memoryless" TargetMode="External"/><Relationship Id="rId97" Type="http://schemas.openxmlformats.org/officeDocument/2006/relationships/hyperlink" Target="https://www.youtube.com/playlist?list=PLIPZ2_p3RNHi3R5H_NDKCB3aGvtLYlLrz" TargetMode="External"/><Relationship Id="rId104" Type="http://schemas.openxmlformats.org/officeDocument/2006/relationships/hyperlink" Target="https://www.youtube.com/results?search_query=GO+Classes+linear+algebra+GATE+PYQ" TargetMode="External"/><Relationship Id="rId7" Type="http://schemas.openxmlformats.org/officeDocument/2006/relationships/hyperlink" Target="https://www.youtube.com/playlist?list=PLIPZ2_p3RNHillKxh1_iFeZhy9MftHeWW" TargetMode="External"/><Relationship Id="rId71" Type="http://schemas.openxmlformats.org/officeDocument/2006/relationships/hyperlink" Target="https://www.youtube.com/playlist?list=PLhLZ_zxDsyOIKbQfKFM05BLYRhUZ7JP-M" TargetMode="External"/><Relationship Id="rId92" Type="http://schemas.openxmlformats.org/officeDocument/2006/relationships/hyperlink" Target="https://www.youtube.com/results?search_query=Joydeep+Das+NPTEL+maxima+minima+calculus" TargetMode="External"/><Relationship Id="rId2" Type="http://schemas.openxmlformats.org/officeDocument/2006/relationships/hyperlink" Target="https://www.youtube.com/results?search_query=GO+Classes+propositional+logic+connectives+truth+table" TargetMode="External"/><Relationship Id="rId29" Type="http://schemas.openxmlformats.org/officeDocument/2006/relationships/hyperlink" Target="https://www.youtube.com/playlist?list=PLIPZ2_p3RNHjQoj0k-BlI9zXE0QKdl-lI" TargetMode="External"/><Relationship Id="rId24" Type="http://schemas.openxmlformats.org/officeDocument/2006/relationships/hyperlink" Target="https://www.youtube.com/results?search_query=GO+Classes+monoid+semigroup+group+definition" TargetMode="External"/><Relationship Id="rId40" Type="http://schemas.openxmlformats.org/officeDocument/2006/relationships/hyperlink" Target="https://www.youtube.com/results?search_query=GO+Classes+pigeonhole+inclusion+exclusion+derangement+stars+and+bars" TargetMode="External"/><Relationship Id="rId45" Type="http://schemas.openxmlformats.org/officeDocument/2006/relationships/hyperlink" Target="https://www.youtube.com/playlist?list=PLIPZ2_p3RNHhGLQ1ZT37KLpBMAD90CM4_" TargetMode="External"/><Relationship Id="rId66" Type="http://schemas.openxmlformats.org/officeDocument/2006/relationships/hyperlink" Target="https://www.youtube.com/results?search_query=gradeup+random+variable+PMF+PDF+CDF" TargetMode="External"/><Relationship Id="rId87" Type="http://schemas.openxmlformats.org/officeDocument/2006/relationships/hyperlink" Target="https://www.youtube.com/playlist?list=PLEAYkSg4uSQ0q9CDkHkJGdUTQOgH1DLDj" TargetMode="External"/><Relationship Id="rId61" Type="http://schemas.openxmlformats.org/officeDocument/2006/relationships/hyperlink" Target="https://www.youtube.com/playlist?list=PLhLZ_zxDsyOIKbQfKFM05BLYRhUZ7JP-M" TargetMode="External"/><Relationship Id="rId82" Type="http://schemas.openxmlformats.org/officeDocument/2006/relationships/hyperlink" Target="https://www.youtube.com/results?search_query=gradeup+probability+GATE+problems+distributions" TargetMode="External"/><Relationship Id="rId19" Type="http://schemas.openxmlformats.org/officeDocument/2006/relationships/hyperlink" Target="https://www.youtube.com/playlist?list=PLIPZ2_p3RNHjHnhdkPWFAlcizVQJ8w4TX" TargetMode="External"/><Relationship Id="rId14" Type="http://schemas.openxmlformats.org/officeDocument/2006/relationships/hyperlink" Target="https://www.youtube.com/results?search_query=GO+Classes+relations+reflexive+symmetric+transitive" TargetMode="External"/><Relationship Id="rId30" Type="http://schemas.openxmlformats.org/officeDocument/2006/relationships/hyperlink" Target="https://www.youtube.com/results?search_query=GO+Classes+graph+connectivity+cut+vertex+bridge" TargetMode="External"/><Relationship Id="rId35" Type="http://schemas.openxmlformats.org/officeDocument/2006/relationships/hyperlink" Target="https://www.youtube.com/playlist?list=PLIPZ2_p3RNHjQoj0k-BlI9zXE0QKdl-lI" TargetMode="External"/><Relationship Id="rId56" Type="http://schemas.openxmlformats.org/officeDocument/2006/relationships/hyperlink" Target="https://www.youtube.com/results?search_query=GO+Classes+Cayley+Hamilton+diagonalization+eigenvalue+properties" TargetMode="External"/><Relationship Id="rId77" Type="http://schemas.openxmlformats.org/officeDocument/2006/relationships/hyperlink" Target="https://www.youtube.com/playlist?list=PLhLZ_zxDsyOIKbQfKFM05BLYRhUZ7JP-M" TargetMode="External"/><Relationship Id="rId100" Type="http://schemas.openxmlformats.org/officeDocument/2006/relationships/hyperlink" Target="https://www.youtube.com/results?search_query=GO+Classes+calculus+GATE+PYQ" TargetMode="External"/><Relationship Id="rId8" Type="http://schemas.openxmlformats.org/officeDocument/2006/relationships/hyperlink" Target="https://www.youtube.com/results?search_query=GO+Classes+first+order+logic+predicates+quantifiers" TargetMode="External"/><Relationship Id="rId51" Type="http://schemas.openxmlformats.org/officeDocument/2006/relationships/hyperlink" Target="https://www.youtube.com/playlist?list=PLIPZ2_p3RNHhGLQ1ZT37KLpBMAD90CM4_" TargetMode="External"/><Relationship Id="rId72" Type="http://schemas.openxmlformats.org/officeDocument/2006/relationships/hyperlink" Target="https://www.youtube.com/results?search_query=gradeup+poisson+distribution" TargetMode="External"/><Relationship Id="rId93" Type="http://schemas.openxmlformats.org/officeDocument/2006/relationships/hyperlink" Target="https://www.youtube.com/playlist?list=PLEAYkSg4uSQ0q9CDkHkJGdUTQOgH1DLDj" TargetMode="External"/><Relationship Id="rId98" Type="http://schemas.openxmlformats.org/officeDocument/2006/relationships/hyperlink" Target="https://www.youtube.com/results?search_query=GO+Classes+calculus+GO+Classes+integration" TargetMode="External"/><Relationship Id="rId3" Type="http://schemas.openxmlformats.org/officeDocument/2006/relationships/hyperlink" Target="https://www.youtube.com/playlist?list=PLIPZ2_p3RNHillKxh1_iFeZhy9MftHeWW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results?search_query=GATE+Overflow+verbal+aptitude+Verbal%3A+sentence+completion+%26+prepositions" TargetMode="External"/><Relationship Id="rId21" Type="http://schemas.openxmlformats.org/officeDocument/2006/relationships/hyperlink" Target="https://unsat.unacademy.com/course/complete-course-on-general-aptitude-for-gate-&amp;-ese-2025-&amp;-2026/X2CSBPPD" TargetMode="External"/><Relationship Id="rId42" Type="http://schemas.openxmlformats.org/officeDocument/2006/relationships/hyperlink" Target="https://www.youtube.com/results?search_query=GATE+aptitude+Speed%2C+time+%26+distance+Saurabh+Thakur" TargetMode="External"/><Relationship Id="rId47" Type="http://schemas.openxmlformats.org/officeDocument/2006/relationships/hyperlink" Target="https://unsat.unacademy.com/course/complete-course-on-general-aptitude-for-gate-&amp;-ese-2025-&amp;-2026/X2CSBPPD" TargetMode="External"/><Relationship Id="rId63" Type="http://schemas.openxmlformats.org/officeDocument/2006/relationships/hyperlink" Target="https://unsat.unacademy.com/course/complete-course-on-general-aptitude-for-gate-&amp;-ese-2025-&amp;-2026/X2CSBPPD" TargetMode="External"/><Relationship Id="rId68" Type="http://schemas.openxmlformats.org/officeDocument/2006/relationships/hyperlink" Target="https://www.youtube.com/results?search_query=GATE+aptitude+Time+%26+work+Saurabh+Thakur" TargetMode="External"/><Relationship Id="rId84" Type="http://schemas.openxmlformats.org/officeDocument/2006/relationships/hyperlink" Target="https://www.youtube.com/results?search_query=GATE+Overflow+verbal+aptitude+Verbal%3A+synonyms%2C+antonyms+%26+idioms" TargetMode="External"/><Relationship Id="rId89" Type="http://schemas.openxmlformats.org/officeDocument/2006/relationships/hyperlink" Target="https://unsat.unacademy.com/course/complete-course-on-general-aptitude-for-gate-&amp;-ese-2025-&amp;-2026/X2CSBPPD" TargetMode="External"/><Relationship Id="rId112" Type="http://schemas.openxmlformats.org/officeDocument/2006/relationships/hyperlink" Target="https://www.youtube.com/results?search_query=GATE+Overflow+verbal+aptitude+Verbal%3A+synonyms%2C+antonyms+%26+idioms" TargetMode="External"/><Relationship Id="rId16" Type="http://schemas.openxmlformats.org/officeDocument/2006/relationships/hyperlink" Target="https://www.youtube.com/results?search_query=GATE+aptitude+Profit%2Floss+%26+averages+Saurabh+Thakur" TargetMode="External"/><Relationship Id="rId107" Type="http://schemas.openxmlformats.org/officeDocument/2006/relationships/hyperlink" Target="https://www.youtube.com/watch?v=Zf7hwQXwVuo&amp;list=PL6aB9AKiIjgvKs4MepL6YC-l0EB8wN7gr" TargetMode="External"/><Relationship Id="rId11" Type="http://schemas.openxmlformats.org/officeDocument/2006/relationships/hyperlink" Target="https://unsat.unacademy.com/course/complete-course-on-general-aptitude-for-gate-&amp;-ese-2025-&amp;-2026/X2CSBPPD" TargetMode="External"/><Relationship Id="rId32" Type="http://schemas.openxmlformats.org/officeDocument/2006/relationships/hyperlink" Target="https://www.youtube.com/results?search_query=GATE+Overflow+verbal+aptitude+Para-jumbles+%26+sentence+ordering" TargetMode="External"/><Relationship Id="rId37" Type="http://schemas.openxmlformats.org/officeDocument/2006/relationships/hyperlink" Target="https://unsat.unacademy.com/course/complete-course-on-general-aptitude-for-gate-&amp;-ese-2025-&amp;-2026/X2CSBPPD" TargetMode="External"/><Relationship Id="rId53" Type="http://schemas.openxmlformats.org/officeDocument/2006/relationships/hyperlink" Target="https://www.youtube.com/watch?v=Zf7hwQXwVuo&amp;list=PL6aB9AKiIjgvKs4MepL6YC-l0EB8wN7gr" TargetMode="External"/><Relationship Id="rId58" Type="http://schemas.openxmlformats.org/officeDocument/2006/relationships/hyperlink" Target="https://www.youtube.com/results?search_query=GATE+Overflow+verbal+aptitude+Reading+comprehension+%281+passage%29" TargetMode="External"/><Relationship Id="rId74" Type="http://schemas.openxmlformats.org/officeDocument/2006/relationships/hyperlink" Target="https://www.youtube.com/results?search_query=GATE+aptitude+Number+series+%26+sequences+Saurabh+Thakur" TargetMode="External"/><Relationship Id="rId79" Type="http://schemas.openxmlformats.org/officeDocument/2006/relationships/hyperlink" Target="https://www.youtube.com/watch?v=Zf7hwQXwVuo&amp;list=PL6aB9AKiIjgvKs4MepL6YC-l0EB8wN7gr" TargetMode="External"/><Relationship Id="rId102" Type="http://schemas.openxmlformats.org/officeDocument/2006/relationships/hyperlink" Target="https://www.youtube.com/results?search_query=GATE+aptitude+Number+series+%26+sequences+Saurabh+Thakur" TargetMode="External"/><Relationship Id="rId5" Type="http://schemas.openxmlformats.org/officeDocument/2006/relationships/hyperlink" Target="https://gateoverflow.in/exam/631/go-classes-cs-da-2025-monthly-quiz-2-general-aptitude" TargetMode="External"/><Relationship Id="rId90" Type="http://schemas.openxmlformats.org/officeDocument/2006/relationships/hyperlink" Target="https://www.youtube.com/results?search_query=GATE+aptitude+Logical+reasoning%3A+arrangements+%26+puzzles+Saurabh+Thakur" TargetMode="External"/><Relationship Id="rId95" Type="http://schemas.openxmlformats.org/officeDocument/2006/relationships/hyperlink" Target="https://unsat.unacademy.com/course/complete-course-on-general-aptitude-for-gate-&amp;-ese-2025-&amp;-2026/X2CSBPPD" TargetMode="External"/><Relationship Id="rId22" Type="http://schemas.openxmlformats.org/officeDocument/2006/relationships/hyperlink" Target="https://www.youtube.com/results?search_query=GATE+aptitude+Data+interpretation+%28tables%2C+bar+charts%29+Saurabh+Thakur" TargetMode="External"/><Relationship Id="rId27" Type="http://schemas.openxmlformats.org/officeDocument/2006/relationships/hyperlink" Target="https://www.youtube.com/watch?v=Zf7hwQXwVuo&amp;list=PL6aB9AKiIjgvKs4MepL6YC-l0EB8wN7gr" TargetMode="External"/><Relationship Id="rId43" Type="http://schemas.openxmlformats.org/officeDocument/2006/relationships/hyperlink" Target="https://unsat.unacademy.com/course/complete-course-on-general-aptitude-for-gate-&amp;-ese-2025-&amp;-2026/X2CSBPPD" TargetMode="External"/><Relationship Id="rId48" Type="http://schemas.openxmlformats.org/officeDocument/2006/relationships/hyperlink" Target="https://www.youtube.com/results?search_query=GATE+aptitude+Basic+counting+%26+probability+%28aptitude+level%29+Saurabh+Thakur" TargetMode="External"/><Relationship Id="rId64" Type="http://schemas.openxmlformats.org/officeDocument/2006/relationships/hyperlink" Target="https://www.youtube.com/results?search_query=GATE+aptitude+Spatial+reasoning%3A+paper+folding%2C+cubes%2C+patterns+Saurabh+Thakur" TargetMode="External"/><Relationship Id="rId69" Type="http://schemas.openxmlformats.org/officeDocument/2006/relationships/hyperlink" Target="https://unsat.unacademy.com/course/complete-course-on-general-aptitude-for-gate-&amp;-ese-2025-&amp;-2026/X2CSBPPD" TargetMode="External"/><Relationship Id="rId80" Type="http://schemas.openxmlformats.org/officeDocument/2006/relationships/hyperlink" Target="https://www.youtube.com/results?search_query=GATE+Overflow+verbal+aptitude+Verbal%3A+tenses+%26+subject-verb+agreement" TargetMode="External"/><Relationship Id="rId85" Type="http://schemas.openxmlformats.org/officeDocument/2006/relationships/hyperlink" Target="https://www.youtube.com/watch?v=Zf7hwQXwVuo&amp;list=PL6aB9AKiIjgvKs4MepL6YC-l0EB8wN7gr" TargetMode="External"/><Relationship Id="rId12" Type="http://schemas.openxmlformats.org/officeDocument/2006/relationships/hyperlink" Target="https://www.youtube.com/results?search_query=GATE+aptitude+Time+%26+work+Saurabh+Thakur" TargetMode="External"/><Relationship Id="rId17" Type="http://schemas.openxmlformats.org/officeDocument/2006/relationships/hyperlink" Target="https://unsat.unacademy.com/course/complete-course-on-general-aptitude-for-gate-&amp;-ese-2025-&amp;-2026/X2CSBPPD" TargetMode="External"/><Relationship Id="rId33" Type="http://schemas.openxmlformats.org/officeDocument/2006/relationships/hyperlink" Target="https://unsat.unacademy.com/course/complete-course-on-general-aptitude-for-gate-&amp;-ese-2025-&amp;-2026/X2CSBPPD" TargetMode="External"/><Relationship Id="rId38" Type="http://schemas.openxmlformats.org/officeDocument/2006/relationships/hyperlink" Target="https://www.youtube.com/results?search_query=GATE+aptitude+Percentages+%26+ratios+Saurabh+Thakur" TargetMode="External"/><Relationship Id="rId59" Type="http://schemas.openxmlformats.org/officeDocument/2006/relationships/hyperlink" Target="https://www.youtube.com/watch?v=Zf7hwQXwVuo&amp;list=PL6aB9AKiIjgvKs4MepL6YC-l0EB8wN7gr" TargetMode="External"/><Relationship Id="rId103" Type="http://schemas.openxmlformats.org/officeDocument/2006/relationships/hyperlink" Target="https://unsat.unacademy.com/course/complete-course-on-general-aptitude-for-gate-&amp;-ese-2025-&amp;-2026/X2CSBPPD" TargetMode="External"/><Relationship Id="rId108" Type="http://schemas.openxmlformats.org/officeDocument/2006/relationships/hyperlink" Target="https://www.youtube.com/results?search_query=GATE+Overflow+verbal+aptitude+Verbal%3A+tenses+%26+subject-verb+agreement" TargetMode="External"/><Relationship Id="rId54" Type="http://schemas.openxmlformats.org/officeDocument/2006/relationships/hyperlink" Target="https://www.youtube.com/results?search_query=GATE+Overflow+verbal+aptitude+Verbal%3A+sentence+completion+%26+prepositions" TargetMode="External"/><Relationship Id="rId70" Type="http://schemas.openxmlformats.org/officeDocument/2006/relationships/hyperlink" Target="https://www.youtube.com/results?search_query=GATE+aptitude+Speed%2C+time+%26+distance+Saurabh+Thakur" TargetMode="External"/><Relationship Id="rId75" Type="http://schemas.openxmlformats.org/officeDocument/2006/relationships/hyperlink" Target="https://unsat.unacademy.com/course/complete-course-on-general-aptitude-for-gate-&amp;-ese-2025-&amp;-2026/X2CSBPPD" TargetMode="External"/><Relationship Id="rId91" Type="http://schemas.openxmlformats.org/officeDocument/2006/relationships/hyperlink" Target="https://unsat.unacademy.com/course/complete-course-on-general-aptitude-for-gate-&amp;-ese-2025-&amp;-2026/X2CSBPPD" TargetMode="External"/><Relationship Id="rId96" Type="http://schemas.openxmlformats.org/officeDocument/2006/relationships/hyperlink" Target="https://www.youtube.com/results?search_query=GATE+aptitude+Time+%26+work+Saurabh+Thakur" TargetMode="External"/><Relationship Id="rId1" Type="http://schemas.openxmlformats.org/officeDocument/2006/relationships/hyperlink" Target="https://www.youtube.com/watch?v=Zf7hwQXwVuo&amp;list=PL6aB9AKiIjgvKs4MepL6YC-l0EB8wN7gr" TargetMode="External"/><Relationship Id="rId6" Type="http://schemas.openxmlformats.org/officeDocument/2006/relationships/hyperlink" Target="https://gateoverflow.in/exam/660/go-classes-cs-da-2025-monthly-quiz-3-general-aptitude" TargetMode="External"/><Relationship Id="rId15" Type="http://schemas.openxmlformats.org/officeDocument/2006/relationships/hyperlink" Target="https://unsat.unacademy.com/course/complete-course-on-general-aptitude-for-gate-&amp;-ese-2025-&amp;-2026/X2CSBPPD" TargetMode="External"/><Relationship Id="rId23" Type="http://schemas.openxmlformats.org/officeDocument/2006/relationships/hyperlink" Target="https://www.youtube.com/watch?v=Zf7hwQXwVuo&amp;list=PL6aB9AKiIjgvKs4MepL6YC-l0EB8wN7gr" TargetMode="External"/><Relationship Id="rId28" Type="http://schemas.openxmlformats.org/officeDocument/2006/relationships/hyperlink" Target="https://www.youtube.com/results?search_query=GATE+Overflow+verbal+aptitude+Verbal%3A+synonyms%2C+antonyms+%26+idioms" TargetMode="External"/><Relationship Id="rId36" Type="http://schemas.openxmlformats.org/officeDocument/2006/relationships/hyperlink" Target="https://www.youtube.com/results?search_query=GATE+aptitude+Spatial+reasoning%3A+paper+folding%2C+cubes%2C+patterns+Saurabh+Thakur" TargetMode="External"/><Relationship Id="rId49" Type="http://schemas.openxmlformats.org/officeDocument/2006/relationships/hyperlink" Target="https://unsat.unacademy.com/course/complete-course-on-general-aptitude-for-gate-&amp;-ese-2025-&amp;-2026/X2CSBPPD" TargetMode="External"/><Relationship Id="rId57" Type="http://schemas.openxmlformats.org/officeDocument/2006/relationships/hyperlink" Target="https://www.youtube.com/watch?v=Zf7hwQXwVuo&amp;list=PL6aB9AKiIjgvKs4MepL6YC-l0EB8wN7gr" TargetMode="External"/><Relationship Id="rId106" Type="http://schemas.openxmlformats.org/officeDocument/2006/relationships/hyperlink" Target="https://www.youtube.com/results?search_query=GATE+aptitude+Data+interpretation+%28tables%2C+bar+charts%29+Saurabh+Thakur" TargetMode="External"/><Relationship Id="rId10" Type="http://schemas.openxmlformats.org/officeDocument/2006/relationships/hyperlink" Target="https://www.youtube.com/results?search_query=GATE+aptitude+Percentages+%26+ratios+Saurabh+Thakur" TargetMode="External"/><Relationship Id="rId31" Type="http://schemas.openxmlformats.org/officeDocument/2006/relationships/hyperlink" Target="https://www.youtube.com/watch?v=Zf7hwQXwVuo&amp;list=PL6aB9AKiIjgvKs4MepL6YC-l0EB8wN7gr" TargetMode="External"/><Relationship Id="rId44" Type="http://schemas.openxmlformats.org/officeDocument/2006/relationships/hyperlink" Target="https://www.youtube.com/results?search_query=GATE+aptitude+Profit%2Floss+%26+averages+Saurabh+Thakur" TargetMode="External"/><Relationship Id="rId52" Type="http://schemas.openxmlformats.org/officeDocument/2006/relationships/hyperlink" Target="https://www.youtube.com/results?search_query=GATE+Overflow+verbal+aptitude+Verbal%3A+tenses+%26+subject-verb+agreement" TargetMode="External"/><Relationship Id="rId60" Type="http://schemas.openxmlformats.org/officeDocument/2006/relationships/hyperlink" Target="https://www.youtube.com/results?search_query=GATE+Overflow+verbal+aptitude+Para-jumbles+%26+sentence+ordering" TargetMode="External"/><Relationship Id="rId65" Type="http://schemas.openxmlformats.org/officeDocument/2006/relationships/hyperlink" Target="https://unsat.unacademy.com/course/complete-course-on-general-aptitude-for-gate-&amp;-ese-2025-&amp;-2026/X2CSBPPD" TargetMode="External"/><Relationship Id="rId73" Type="http://schemas.openxmlformats.org/officeDocument/2006/relationships/hyperlink" Target="https://unsat.unacademy.com/course/complete-course-on-general-aptitude-for-gate-&amp;-ese-2025-&amp;-2026/X2CSBPPD" TargetMode="External"/><Relationship Id="rId78" Type="http://schemas.openxmlformats.org/officeDocument/2006/relationships/hyperlink" Target="https://www.youtube.com/results?search_query=GATE+aptitude+Data+interpretation+%28tables%2C+bar+charts%29+Saurabh+Thakur" TargetMode="External"/><Relationship Id="rId81" Type="http://schemas.openxmlformats.org/officeDocument/2006/relationships/hyperlink" Target="https://www.youtube.com/watch?v=Zf7hwQXwVuo&amp;list=PL6aB9AKiIjgvKs4MepL6YC-l0EB8wN7gr" TargetMode="External"/><Relationship Id="rId86" Type="http://schemas.openxmlformats.org/officeDocument/2006/relationships/hyperlink" Target="https://www.youtube.com/results?search_query=GATE+Overflow+verbal+aptitude+Reading+comprehension+%281+passage%29" TargetMode="External"/><Relationship Id="rId94" Type="http://schemas.openxmlformats.org/officeDocument/2006/relationships/hyperlink" Target="https://www.youtube.com/results?search_query=GATE+aptitude+Percentages+%26+ratios+Saurabh+Thakur" TargetMode="External"/><Relationship Id="rId99" Type="http://schemas.openxmlformats.org/officeDocument/2006/relationships/hyperlink" Target="https://unsat.unacademy.com/course/complete-course-on-general-aptitude-for-gate-&amp;-ese-2025-&amp;-2026/X2CSBPPD" TargetMode="External"/><Relationship Id="rId101" Type="http://schemas.openxmlformats.org/officeDocument/2006/relationships/hyperlink" Target="https://unsat.unacademy.com/course/complete-course-on-general-aptitude-for-gate-&amp;-ese-2025-&amp;-2026/X2CSBPPD" TargetMode="External"/><Relationship Id="rId4" Type="http://schemas.openxmlformats.org/officeDocument/2006/relationships/hyperlink" Target="https://gateoverflow.in/exam/610/go-classes-2025-monthly-quiz-1-general-aptitude" TargetMode="External"/><Relationship Id="rId9" Type="http://schemas.openxmlformats.org/officeDocument/2006/relationships/hyperlink" Target="https://unsat.unacademy.com/course/complete-course-on-general-aptitude-for-gate-&amp;-ese-2025-&amp;-2026/X2CSBPPD" TargetMode="External"/><Relationship Id="rId13" Type="http://schemas.openxmlformats.org/officeDocument/2006/relationships/hyperlink" Target="https://unsat.unacademy.com/course/complete-course-on-general-aptitude-for-gate-&amp;-ese-2025-&amp;-2026/X2CSBPPD" TargetMode="External"/><Relationship Id="rId18" Type="http://schemas.openxmlformats.org/officeDocument/2006/relationships/hyperlink" Target="https://www.youtube.com/results?search_query=GATE+aptitude+Number+series+%26+sequences+Saurabh+Thakur" TargetMode="External"/><Relationship Id="rId39" Type="http://schemas.openxmlformats.org/officeDocument/2006/relationships/hyperlink" Target="https://unsat.unacademy.com/course/complete-course-on-general-aptitude-for-gate-&amp;-ese-2025-&amp;-2026/X2CSBPPD" TargetMode="External"/><Relationship Id="rId109" Type="http://schemas.openxmlformats.org/officeDocument/2006/relationships/hyperlink" Target="https://www.youtube.com/watch?v=Zf7hwQXwVuo&amp;list=PL6aB9AKiIjgvKs4MepL6YC-l0EB8wN7gr" TargetMode="External"/><Relationship Id="rId34" Type="http://schemas.openxmlformats.org/officeDocument/2006/relationships/hyperlink" Target="https://www.youtube.com/results?search_query=GATE+aptitude+Logical+reasoning%3A+arrangements+%26+puzzles+Saurabh+Thakur" TargetMode="External"/><Relationship Id="rId50" Type="http://schemas.openxmlformats.org/officeDocument/2006/relationships/hyperlink" Target="https://www.youtube.com/results?search_query=GATE+aptitude+Data+interpretation+%28tables%2C+bar+charts%29+Saurabh+Thakur" TargetMode="External"/><Relationship Id="rId55" Type="http://schemas.openxmlformats.org/officeDocument/2006/relationships/hyperlink" Target="https://www.youtube.com/watch?v=Zf7hwQXwVuo&amp;list=PL6aB9AKiIjgvKs4MepL6YC-l0EB8wN7gr" TargetMode="External"/><Relationship Id="rId76" Type="http://schemas.openxmlformats.org/officeDocument/2006/relationships/hyperlink" Target="https://www.youtube.com/results?search_query=GATE+aptitude+Basic+counting+%26+probability+%28aptitude+level%29+Saurabh+Thakur" TargetMode="External"/><Relationship Id="rId97" Type="http://schemas.openxmlformats.org/officeDocument/2006/relationships/hyperlink" Target="https://unsat.unacademy.com/course/complete-course-on-general-aptitude-for-gate-&amp;-ese-2025-&amp;-2026/X2CSBPPD" TargetMode="External"/><Relationship Id="rId104" Type="http://schemas.openxmlformats.org/officeDocument/2006/relationships/hyperlink" Target="https://www.youtube.com/results?search_query=GATE+aptitude+Basic+counting+%26+probability+%28aptitude+level%29+Saurabh+Thakur" TargetMode="External"/><Relationship Id="rId7" Type="http://schemas.openxmlformats.org/officeDocument/2006/relationships/hyperlink" Target="https://gateoverflow.in/exam/36/go2017-aptitude-1" TargetMode="External"/><Relationship Id="rId71" Type="http://schemas.openxmlformats.org/officeDocument/2006/relationships/hyperlink" Target="https://unsat.unacademy.com/course/complete-course-on-general-aptitude-for-gate-&amp;-ese-2025-&amp;-2026/X2CSBPPD" TargetMode="External"/><Relationship Id="rId92" Type="http://schemas.openxmlformats.org/officeDocument/2006/relationships/hyperlink" Target="https://www.youtube.com/results?search_query=GATE+aptitude+Spatial+reasoning%3A+paper+folding%2C+cubes%2C+patterns+Saurabh+Thakur" TargetMode="External"/><Relationship Id="rId2" Type="http://schemas.openxmlformats.org/officeDocument/2006/relationships/hyperlink" Target="https://unsat.unacademy.com/course/complete-course-on-general-aptitude-for-gate-&amp;-ese-2025-&amp;-2026/X2CSBPPD" TargetMode="External"/><Relationship Id="rId29" Type="http://schemas.openxmlformats.org/officeDocument/2006/relationships/hyperlink" Target="https://www.youtube.com/watch?v=Zf7hwQXwVuo&amp;list=PL6aB9AKiIjgvKs4MepL6YC-l0EB8wN7gr" TargetMode="External"/><Relationship Id="rId24" Type="http://schemas.openxmlformats.org/officeDocument/2006/relationships/hyperlink" Target="https://www.youtube.com/results?search_query=GATE+Overflow+verbal+aptitude+Verbal%3A+tenses+%26+subject-verb+agreement" TargetMode="External"/><Relationship Id="rId40" Type="http://schemas.openxmlformats.org/officeDocument/2006/relationships/hyperlink" Target="https://www.youtube.com/results?search_query=GATE+aptitude+Time+%26+work+Saurabh+Thakur" TargetMode="External"/><Relationship Id="rId45" Type="http://schemas.openxmlformats.org/officeDocument/2006/relationships/hyperlink" Target="https://unsat.unacademy.com/course/complete-course-on-general-aptitude-for-gate-&amp;-ese-2025-&amp;-2026/X2CSBPPD" TargetMode="External"/><Relationship Id="rId66" Type="http://schemas.openxmlformats.org/officeDocument/2006/relationships/hyperlink" Target="https://www.youtube.com/results?search_query=GATE+aptitude+Percentages+%26+ratios+Saurabh+Thakur" TargetMode="External"/><Relationship Id="rId87" Type="http://schemas.openxmlformats.org/officeDocument/2006/relationships/hyperlink" Target="https://www.youtube.com/watch?v=Zf7hwQXwVuo&amp;list=PL6aB9AKiIjgvKs4MepL6YC-l0EB8wN7gr" TargetMode="External"/><Relationship Id="rId110" Type="http://schemas.openxmlformats.org/officeDocument/2006/relationships/hyperlink" Target="https://www.youtube.com/results?search_query=GATE+Overflow+verbal+aptitude+Verbal%3A+sentence+completion+%26+prepositions" TargetMode="External"/><Relationship Id="rId61" Type="http://schemas.openxmlformats.org/officeDocument/2006/relationships/hyperlink" Target="https://unsat.unacademy.com/course/complete-course-on-general-aptitude-for-gate-&amp;-ese-2025-&amp;-2026/X2CSBPPD" TargetMode="External"/><Relationship Id="rId82" Type="http://schemas.openxmlformats.org/officeDocument/2006/relationships/hyperlink" Target="https://www.youtube.com/results?search_query=GATE+Overflow+verbal+aptitude+Verbal%3A+sentence+completion+%26+prepositions" TargetMode="External"/><Relationship Id="rId19" Type="http://schemas.openxmlformats.org/officeDocument/2006/relationships/hyperlink" Target="https://unsat.unacademy.com/course/complete-course-on-general-aptitude-for-gate-&amp;-ese-2025-&amp;-2026/X2CSBPPD" TargetMode="External"/><Relationship Id="rId14" Type="http://schemas.openxmlformats.org/officeDocument/2006/relationships/hyperlink" Target="https://www.youtube.com/results?search_query=GATE+aptitude+Speed%2C+time+%26+distance+Saurabh+Thakur" TargetMode="External"/><Relationship Id="rId30" Type="http://schemas.openxmlformats.org/officeDocument/2006/relationships/hyperlink" Target="https://www.youtube.com/results?search_query=GATE+Overflow+verbal+aptitude+Reading+comprehension+%281+passage%29" TargetMode="External"/><Relationship Id="rId35" Type="http://schemas.openxmlformats.org/officeDocument/2006/relationships/hyperlink" Target="https://unsat.unacademy.com/course/complete-course-on-general-aptitude-for-gate-&amp;-ese-2025-&amp;-2026/X2CSBPPD" TargetMode="External"/><Relationship Id="rId56" Type="http://schemas.openxmlformats.org/officeDocument/2006/relationships/hyperlink" Target="https://www.youtube.com/results?search_query=GATE+Overflow+verbal+aptitude+Verbal%3A+synonyms%2C+antonyms+%26+idioms" TargetMode="External"/><Relationship Id="rId77" Type="http://schemas.openxmlformats.org/officeDocument/2006/relationships/hyperlink" Target="https://unsat.unacademy.com/course/complete-course-on-general-aptitude-for-gate-&amp;-ese-2025-&amp;-2026/X2CSBPPD" TargetMode="External"/><Relationship Id="rId100" Type="http://schemas.openxmlformats.org/officeDocument/2006/relationships/hyperlink" Target="https://www.youtube.com/results?search_query=GATE+aptitude+Profit%2Floss+%26+averages+Saurabh+Thakur" TargetMode="External"/><Relationship Id="rId105" Type="http://schemas.openxmlformats.org/officeDocument/2006/relationships/hyperlink" Target="https://unsat.unacademy.com/course/complete-course-on-general-aptitude-for-gate-&amp;-ese-2025-&amp;-2026/X2CSBPPD" TargetMode="External"/><Relationship Id="rId8" Type="http://schemas.openxmlformats.org/officeDocument/2006/relationships/hyperlink" Target="https://gateoverflow.in/exam/64/general-aptitude-set-2" TargetMode="External"/><Relationship Id="rId51" Type="http://schemas.openxmlformats.org/officeDocument/2006/relationships/hyperlink" Target="https://www.youtube.com/watch?v=Zf7hwQXwVuo&amp;list=PL6aB9AKiIjgvKs4MepL6YC-l0EB8wN7gr" TargetMode="External"/><Relationship Id="rId72" Type="http://schemas.openxmlformats.org/officeDocument/2006/relationships/hyperlink" Target="https://www.youtube.com/results?search_query=GATE+aptitude+Profit%2Floss+%26+averages+Saurabh+Thakur" TargetMode="External"/><Relationship Id="rId93" Type="http://schemas.openxmlformats.org/officeDocument/2006/relationships/hyperlink" Target="https://unsat.unacademy.com/course/complete-course-on-general-aptitude-for-gate-&amp;-ese-2025-&amp;-2026/X2CSBPPD" TargetMode="External"/><Relationship Id="rId98" Type="http://schemas.openxmlformats.org/officeDocument/2006/relationships/hyperlink" Target="https://www.youtube.com/results?search_query=GATE+aptitude+Speed%2C+time+%26+distance+Saurabh+Thakur" TargetMode="External"/><Relationship Id="rId3" Type="http://schemas.openxmlformats.org/officeDocument/2006/relationships/hyperlink" Target="https://youtu.be/IADuDzccEOI" TargetMode="External"/><Relationship Id="rId25" Type="http://schemas.openxmlformats.org/officeDocument/2006/relationships/hyperlink" Target="https://www.youtube.com/watch?v=Zf7hwQXwVuo&amp;list=PL6aB9AKiIjgvKs4MepL6YC-l0EB8wN7gr" TargetMode="External"/><Relationship Id="rId46" Type="http://schemas.openxmlformats.org/officeDocument/2006/relationships/hyperlink" Target="https://www.youtube.com/results?search_query=GATE+aptitude+Number+series+%26+sequences+Saurabh+Thakur" TargetMode="External"/><Relationship Id="rId67" Type="http://schemas.openxmlformats.org/officeDocument/2006/relationships/hyperlink" Target="https://unsat.unacademy.com/course/complete-course-on-general-aptitude-for-gate-&amp;-ese-2025-&amp;-2026/X2CSBPPD" TargetMode="External"/><Relationship Id="rId20" Type="http://schemas.openxmlformats.org/officeDocument/2006/relationships/hyperlink" Target="https://www.youtube.com/results?search_query=GATE+aptitude+Basic+counting+%26+probability+%28aptitude+level%29+Saurabh+Thakur" TargetMode="External"/><Relationship Id="rId41" Type="http://schemas.openxmlformats.org/officeDocument/2006/relationships/hyperlink" Target="https://unsat.unacademy.com/course/complete-course-on-general-aptitude-for-gate-&amp;-ese-2025-&amp;-2026/X2CSBPPD" TargetMode="External"/><Relationship Id="rId62" Type="http://schemas.openxmlformats.org/officeDocument/2006/relationships/hyperlink" Target="https://www.youtube.com/results?search_query=GATE+aptitude+Logical+reasoning%3A+arrangements+%26+puzzles+Saurabh+Thakur" TargetMode="External"/><Relationship Id="rId83" Type="http://schemas.openxmlformats.org/officeDocument/2006/relationships/hyperlink" Target="https://www.youtube.com/watch?v=Zf7hwQXwVuo&amp;list=PL6aB9AKiIjgvKs4MepL6YC-l0EB8wN7gr" TargetMode="External"/><Relationship Id="rId88" Type="http://schemas.openxmlformats.org/officeDocument/2006/relationships/hyperlink" Target="https://www.youtube.com/results?search_query=GATE+Overflow+verbal+aptitude+Para-jumbles+%26+sentence+ordering" TargetMode="External"/><Relationship Id="rId111" Type="http://schemas.openxmlformats.org/officeDocument/2006/relationships/hyperlink" Target="https://www.youtube.com/watch?v=Zf7hwQXwVuo&amp;list=PL6aB9AKiIjgvKs4MepL6YC-l0EB8wN7gr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G9aCp4uE-s17rFjWM8KchGlffXgOzzVP" TargetMode="External"/><Relationship Id="rId18" Type="http://schemas.openxmlformats.org/officeDocument/2006/relationships/hyperlink" Target="https://www.youtube.com/playlist?list=PLbRMhDVUMngf-peFloB7kyiA40EptH1up" TargetMode="External"/><Relationship Id="rId26" Type="http://schemas.openxmlformats.org/officeDocument/2006/relationships/hyperlink" Target="https://www.youtube.com/playlist?list=PLhLZ_zxDsyOIKbQfKFM05BLYRhUZ7JP-M" TargetMode="External"/><Relationship Id="rId3" Type="http://schemas.openxmlformats.org/officeDocument/2006/relationships/hyperlink" Target="https://www.youtube.com/playlist?list=PLIC0AxWOdm5BvHpI_AtPqqjoADnSqcYgp" TargetMode="External"/><Relationship Id="rId21" Type="http://schemas.openxmlformats.org/officeDocument/2006/relationships/hyperlink" Target="https://www.youtube.com/playlist?list=PLIPZ2_p3RNHhXves0XVa8d5O6F4rUi3KR" TargetMode="External"/><Relationship Id="rId7" Type="http://schemas.openxmlformats.org/officeDocument/2006/relationships/hyperlink" Target="https://www.youtube.com/playlist?list=PLIPZ2_p3RNHjUCHdJp-_soSSmhgmO4i0T" TargetMode="External"/><Relationship Id="rId12" Type="http://schemas.openxmlformats.org/officeDocument/2006/relationships/hyperlink" Target="https://www.youtube.com/playlist?list=PL54i8TI-dREaHgsBFNalWnz-bC9CZkOBb" TargetMode="External"/><Relationship Id="rId17" Type="http://schemas.openxmlformats.org/officeDocument/2006/relationships/hyperlink" Target="https://www.youtube.com/playlist?list=PLIPZ2_p3RNHim3NUSNOb7ffyhaE5MSkmE" TargetMode="External"/><Relationship Id="rId25" Type="http://schemas.openxmlformats.org/officeDocument/2006/relationships/hyperlink" Target="https://www.youtube.com/playlist?list=PLIPZ2_p3RNHhGLQ1ZT37KLpBMAD90CM4_" TargetMode="External"/><Relationship Id="rId33" Type="http://schemas.openxmlformats.org/officeDocument/2006/relationships/hyperlink" Target="https://youtu.be/IADuDzccEOI" TargetMode="External"/><Relationship Id="rId2" Type="http://schemas.openxmlformats.org/officeDocument/2006/relationships/hyperlink" Target="https://www.youtube.com/playlist?list=PLEAYkSg4uSQ2k6GwNhpgSHodGT8wfvgwu" TargetMode="External"/><Relationship Id="rId16" Type="http://schemas.openxmlformats.org/officeDocument/2006/relationships/hyperlink" Target="https://www.youtube.com/playlist?list=PLC36xJgs4dxHT-TxTy3U1slr5RaBJGaLd" TargetMode="External"/><Relationship Id="rId20" Type="http://schemas.openxmlformats.org/officeDocument/2006/relationships/hyperlink" Target="https://www.youtube.com/playlist?list=PLIPZ2_p3RNHjHnhdkPWFAlcizVQJ8w4TX" TargetMode="External"/><Relationship Id="rId29" Type="http://schemas.openxmlformats.org/officeDocument/2006/relationships/hyperlink" Target="https://www.youtube.com/playlist?list=PLIPZ2_p3RNHi3R5H_NDKCB3aGvtLYlLrz" TargetMode="External"/><Relationship Id="rId1" Type="http://schemas.openxmlformats.org/officeDocument/2006/relationships/hyperlink" Target="https://www.youtube.com/playlist?list=PLbE3-5DBkMUkATaUFgDIpBDbfnym0qvsQ" TargetMode="External"/><Relationship Id="rId6" Type="http://schemas.openxmlformats.org/officeDocument/2006/relationships/hyperlink" Target="https://www.youtube.com/playlist?list=PLAXnLdrLnQpRcveZTtD644gM9uzYqJCwr" TargetMode="External"/><Relationship Id="rId11" Type="http://schemas.openxmlformats.org/officeDocument/2006/relationships/hyperlink" Target="https://www.youtube.com/playlist?list=PLIPZ2_p3RNHj8kDhh1OCIzEha8qhzfe1f" TargetMode="External"/><Relationship Id="rId24" Type="http://schemas.openxmlformats.org/officeDocument/2006/relationships/hyperlink" Target="https://www.youtube.com/playlist?list=PLIPZ2_p3RNHhhTH0o1JBMgscMUvxs4E_4" TargetMode="External"/><Relationship Id="rId32" Type="http://schemas.openxmlformats.org/officeDocument/2006/relationships/hyperlink" Target="https://unsat.unacademy.com/course/complete-course-on-general-aptitude-for-gate-&amp;-ese-2025-&amp;-2026/X2CSBPPD" TargetMode="External"/><Relationship Id="rId5" Type="http://schemas.openxmlformats.org/officeDocument/2006/relationships/hyperlink" Target="https://www.youtube.com/playlist?list=PLBF3763AF2E1C572F" TargetMode="External"/><Relationship Id="rId15" Type="http://schemas.openxmlformats.org/officeDocument/2006/relationships/hyperlink" Target="https://www.youtube.com/playlist?list=PLyqSpQzTE6M9SYI5RqwFYtFYab94gJpWk" TargetMode="External"/><Relationship Id="rId23" Type="http://schemas.openxmlformats.org/officeDocument/2006/relationships/hyperlink" Target="https://www.youtube.com/playlist?list=PLIPZ2_p3RNHgm_UqwqckMxM68HS4BkjYY" TargetMode="External"/><Relationship Id="rId28" Type="http://schemas.openxmlformats.org/officeDocument/2006/relationships/hyperlink" Target="https://www.youtube.com/playlist?list=PLEAYkSg4uSQ0q9CDkHkJGdUTQOgH1DLDj" TargetMode="External"/><Relationship Id="rId10" Type="http://schemas.openxmlformats.org/officeDocument/2006/relationships/hyperlink" Target="https://www.youtube.com/playlist?list=PLIPZ2_p3RNHjy3eH_qRImIs5dVUTpr9ga" TargetMode="External"/><Relationship Id="rId19" Type="http://schemas.openxmlformats.org/officeDocument/2006/relationships/hyperlink" Target="https://www.youtube.com/playlist?list=PLIPZ2_p3RNHillKxh1_iFeZhy9MftHeWW" TargetMode="External"/><Relationship Id="rId31" Type="http://schemas.openxmlformats.org/officeDocument/2006/relationships/hyperlink" Target="https://www.youtube.com/watch?v=Zf7hwQXwVuo&amp;list=PL6aB9AKiIjgvKs4MepL6YC-l0EB8wN7gr" TargetMode="External"/><Relationship Id="rId4" Type="http://schemas.openxmlformats.org/officeDocument/2006/relationships/hyperlink" Target="https://www.youtube.com/playlist?list=PLG9aCp4uE-s3Rs4AjzG0VcXQCggmOJJ6W" TargetMode="External"/><Relationship Id="rId9" Type="http://schemas.openxmlformats.org/officeDocument/2006/relationships/hyperlink" Target="https://www.youtube.com/playlist?list=PLEbnTDJUr_IcPtUXFy2b1sGRPsLFMghhS" TargetMode="External"/><Relationship Id="rId14" Type="http://schemas.openxmlformats.org/officeDocument/2006/relationships/hyperlink" Target="https://www.youtube.com/playlist?list=PLIPZ2_p3RNHixlIaarIXGPy-eggJQMxd_" TargetMode="External"/><Relationship Id="rId22" Type="http://schemas.openxmlformats.org/officeDocument/2006/relationships/hyperlink" Target="https://www.youtube.com/playlist?list=PLIPZ2_p3RNHjQoj0k-BlI9zXE0QKdl-lI" TargetMode="External"/><Relationship Id="rId27" Type="http://schemas.openxmlformats.org/officeDocument/2006/relationships/hyperlink" Target="https://www.youtube.com/playlist?list=PLyqSpQzTE6M_JcleDbrVyPnE0PixKs2JE" TargetMode="External"/><Relationship Id="rId30" Type="http://schemas.openxmlformats.org/officeDocument/2006/relationships/hyperlink" Target="https://www.youtube.com/playlist?list=PL3eEXnCBViH-WZfR3PRFfYs7WjUgcBlAZ" TargetMode="External"/><Relationship Id="rId8" Type="http://schemas.openxmlformats.org/officeDocument/2006/relationships/hyperlink" Target="https://www.youtube.com/playlist?list=PL7DC83C6B3312DF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opLeftCell="A2" zoomScaleNormal="100" workbookViewId="0">
      <selection sqref="A1:B1"/>
    </sheetView>
  </sheetViews>
  <sheetFormatPr defaultColWidth="8.6640625" defaultRowHeight="14.4" x14ac:dyDescent="0.3"/>
  <cols>
    <col min="1" max="1" width="51.77734375" customWidth="1"/>
    <col min="2" max="2" width="115.77734375" customWidth="1"/>
  </cols>
  <sheetData>
    <row r="1" spans="1:2" ht="31.8" customHeight="1" x14ac:dyDescent="0.3">
      <c r="A1" s="36" t="s">
        <v>105</v>
      </c>
      <c r="B1" s="33"/>
    </row>
    <row r="2" spans="1:2" ht="14.4" customHeight="1" x14ac:dyDescent="0.3">
      <c r="A2" s="35" t="s">
        <v>106</v>
      </c>
      <c r="B2" s="33"/>
    </row>
    <row r="4" spans="1:2" ht="15.6" customHeight="1" x14ac:dyDescent="0.3">
      <c r="A4" s="2" t="s">
        <v>107</v>
      </c>
    </row>
    <row r="5" spans="1:2" x14ac:dyDescent="0.3">
      <c r="A5" s="3" t="s">
        <v>108</v>
      </c>
      <c r="B5" s="4" t="s">
        <v>109</v>
      </c>
    </row>
    <row r="6" spans="1:2" ht="26.4" customHeight="1" x14ac:dyDescent="0.3">
      <c r="A6" s="3" t="s">
        <v>110</v>
      </c>
      <c r="B6" s="4" t="s">
        <v>111</v>
      </c>
    </row>
    <row r="7" spans="1:2" x14ac:dyDescent="0.3">
      <c r="A7" s="3" t="s">
        <v>112</v>
      </c>
      <c r="B7" s="4" t="s">
        <v>113</v>
      </c>
    </row>
    <row r="9" spans="1:2" ht="31.2" customHeight="1" x14ac:dyDescent="0.3">
      <c r="A9" s="2" t="s">
        <v>114</v>
      </c>
    </row>
    <row r="10" spans="1:2" ht="26.4" customHeight="1" x14ac:dyDescent="0.3">
      <c r="A10" s="3" t="s">
        <v>115</v>
      </c>
      <c r="B10" s="4" t="s">
        <v>116</v>
      </c>
    </row>
    <row r="11" spans="1:2" ht="26.4" customHeight="1" x14ac:dyDescent="0.3">
      <c r="A11" s="3" t="s">
        <v>117</v>
      </c>
      <c r="B11" s="4" t="s">
        <v>118</v>
      </c>
    </row>
    <row r="12" spans="1:2" ht="26.4" customHeight="1" x14ac:dyDescent="0.3">
      <c r="A12" s="3" t="s">
        <v>119</v>
      </c>
      <c r="B12" s="4" t="s">
        <v>120</v>
      </c>
    </row>
    <row r="13" spans="1:2" x14ac:dyDescent="0.3">
      <c r="A13" s="3" t="s">
        <v>121</v>
      </c>
      <c r="B13" s="4" t="s">
        <v>122</v>
      </c>
    </row>
    <row r="14" spans="1:2" ht="26.4" customHeight="1" x14ac:dyDescent="0.3">
      <c r="A14" s="3" t="s">
        <v>123</v>
      </c>
      <c r="B14" s="4" t="s">
        <v>124</v>
      </c>
    </row>
    <row r="16" spans="1:2" ht="31.2" customHeight="1" x14ac:dyDescent="0.3">
      <c r="A16" s="2" t="s">
        <v>125</v>
      </c>
    </row>
    <row r="17" spans="1:2" ht="26.4" customHeight="1" x14ac:dyDescent="0.3">
      <c r="A17" s="3" t="s">
        <v>126</v>
      </c>
      <c r="B17" s="4" t="s">
        <v>127</v>
      </c>
    </row>
    <row r="18" spans="1:2" x14ac:dyDescent="0.3">
      <c r="A18" s="3" t="s">
        <v>128</v>
      </c>
      <c r="B18" s="4" t="s">
        <v>129</v>
      </c>
    </row>
    <row r="19" spans="1:2" ht="26.4" customHeight="1" x14ac:dyDescent="0.3">
      <c r="A19" s="3" t="s">
        <v>130</v>
      </c>
      <c r="B19" s="4" t="s">
        <v>131</v>
      </c>
    </row>
    <row r="21" spans="1:2" ht="15.6" customHeight="1" x14ac:dyDescent="0.3">
      <c r="A21" s="2" t="s">
        <v>132</v>
      </c>
    </row>
    <row r="22" spans="1:2" x14ac:dyDescent="0.3">
      <c r="A22" s="3" t="s">
        <v>133</v>
      </c>
      <c r="B22" s="4" t="s">
        <v>134</v>
      </c>
    </row>
    <row r="23" spans="1:2" x14ac:dyDescent="0.3">
      <c r="A23" s="3" t="s">
        <v>135</v>
      </c>
      <c r="B23" s="4" t="s">
        <v>136</v>
      </c>
    </row>
    <row r="24" spans="1:2" ht="26.4" customHeight="1" x14ac:dyDescent="0.3">
      <c r="A24" s="3" t="s">
        <v>137</v>
      </c>
      <c r="B24" s="4" t="s">
        <v>138</v>
      </c>
    </row>
    <row r="25" spans="1:2" x14ac:dyDescent="0.3">
      <c r="A25" s="3" t="s">
        <v>139</v>
      </c>
      <c r="B25" s="4" t="s">
        <v>140</v>
      </c>
    </row>
    <row r="26" spans="1:2" x14ac:dyDescent="0.3">
      <c r="A26" s="3" t="s">
        <v>141</v>
      </c>
      <c r="B26" s="4" t="s">
        <v>142</v>
      </c>
    </row>
    <row r="27" spans="1:2" ht="26.4" customHeight="1" x14ac:dyDescent="0.3">
      <c r="A27" s="3" t="s">
        <v>143</v>
      </c>
      <c r="B27" s="4" t="s">
        <v>144</v>
      </c>
    </row>
    <row r="28" spans="1:2" x14ac:dyDescent="0.3">
      <c r="A28" s="3" t="s">
        <v>145</v>
      </c>
      <c r="B28" s="4" t="s">
        <v>146</v>
      </c>
    </row>
    <row r="30" spans="1:2" ht="15.6" customHeight="1" x14ac:dyDescent="0.3">
      <c r="A30" s="2" t="s">
        <v>147</v>
      </c>
    </row>
    <row r="31" spans="1:2" ht="52.8" customHeight="1" x14ac:dyDescent="0.3">
      <c r="A31" s="3" t="s">
        <v>148</v>
      </c>
      <c r="B31" s="4" t="s">
        <v>149</v>
      </c>
    </row>
    <row r="32" spans="1:2" ht="26.4" customHeight="1" x14ac:dyDescent="0.3">
      <c r="A32" s="3" t="s">
        <v>150</v>
      </c>
      <c r="B32" s="4" t="s">
        <v>151</v>
      </c>
    </row>
    <row r="33" spans="1:2" ht="26.4" customHeight="1" x14ac:dyDescent="0.3">
      <c r="A33" s="3" t="s">
        <v>152</v>
      </c>
      <c r="B33" s="4" t="s">
        <v>153</v>
      </c>
    </row>
    <row r="34" spans="1:2" ht="26.4" customHeight="1" x14ac:dyDescent="0.3">
      <c r="A34" s="3" t="s">
        <v>154</v>
      </c>
      <c r="B34" s="4" t="s">
        <v>155</v>
      </c>
    </row>
    <row r="35" spans="1:2" ht="26.4" customHeight="1" x14ac:dyDescent="0.3">
      <c r="A35" s="3" t="s">
        <v>156</v>
      </c>
      <c r="B35" s="4" t="s">
        <v>157</v>
      </c>
    </row>
    <row r="36" spans="1:2" ht="26.4" customHeight="1" x14ac:dyDescent="0.3">
      <c r="A36" s="3" t="s">
        <v>158</v>
      </c>
      <c r="B36" s="4" t="s">
        <v>159</v>
      </c>
    </row>
    <row r="37" spans="1:2" ht="26.4" customHeight="1" x14ac:dyDescent="0.3">
      <c r="A37" s="3" t="s">
        <v>160</v>
      </c>
      <c r="B37" s="4" t="s">
        <v>161</v>
      </c>
    </row>
    <row r="38" spans="1:2" ht="26.4" customHeight="1" x14ac:dyDescent="0.3">
      <c r="A38" s="3" t="s">
        <v>162</v>
      </c>
      <c r="B38" s="4" t="s">
        <v>163</v>
      </c>
    </row>
  </sheetData>
  <mergeCells count="2"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selection activeCell="H9" sqref="H9"/>
    </sheetView>
  </sheetViews>
  <sheetFormatPr defaultColWidth="8.6640625" defaultRowHeight="14.4" x14ac:dyDescent="0.3"/>
  <cols>
    <col min="1" max="1" width="44" customWidth="1"/>
    <col min="2" max="2" width="18" customWidth="1"/>
    <col min="3" max="3" width="24" customWidth="1"/>
    <col min="4" max="4" width="14" customWidth="1"/>
    <col min="5" max="5" width="16" customWidth="1"/>
  </cols>
  <sheetData>
    <row r="1" spans="1:5" ht="17.399999999999999" customHeight="1" x14ac:dyDescent="0.3">
      <c r="A1" s="34" t="s">
        <v>164</v>
      </c>
      <c r="B1" s="33"/>
      <c r="C1" s="33"/>
    </row>
    <row r="3" spans="1:5" x14ac:dyDescent="0.3">
      <c r="A3" s="5" t="s">
        <v>165</v>
      </c>
      <c r="B3" s="5" t="s">
        <v>166</v>
      </c>
      <c r="C3" s="5" t="s">
        <v>167</v>
      </c>
      <c r="D3" s="5" t="s">
        <v>168</v>
      </c>
    </row>
    <row r="4" spans="1:5" x14ac:dyDescent="0.3">
      <c r="A4" s="6" t="s">
        <v>9</v>
      </c>
      <c r="B4" s="7">
        <f>COUNTA('1 C Programming'!A12:A16)</f>
        <v>5</v>
      </c>
      <c r="C4" s="7">
        <f>COUNTIF('1 C Programming'!P12:P16,"Done")</f>
        <v>0</v>
      </c>
      <c r="D4" s="8">
        <f t="shared" ref="D4:D13" si="0">IF(B4=0,0,C4/B4)</f>
        <v>0</v>
      </c>
    </row>
    <row r="5" spans="1:5" x14ac:dyDescent="0.3">
      <c r="A5" s="6" t="s">
        <v>19</v>
      </c>
      <c r="B5" s="7">
        <f>COUNTA('2 Data Structures'!A13:A21)</f>
        <v>9</v>
      </c>
      <c r="C5" s="7">
        <f>COUNTIF('2 Data Structures'!P13:P21,"Done")</f>
        <v>0</v>
      </c>
      <c r="D5" s="8">
        <f t="shared" si="0"/>
        <v>0</v>
      </c>
    </row>
    <row r="6" spans="1:5" x14ac:dyDescent="0.3">
      <c r="A6" s="6" t="s">
        <v>30</v>
      </c>
      <c r="B6" s="7">
        <f>COUNTA('3 Algorithms DAA'!A13:A25)</f>
        <v>13</v>
      </c>
      <c r="C6" s="7">
        <f>COUNTIF('3 Algorithms DAA'!P13:P25,"Done")</f>
        <v>0</v>
      </c>
      <c r="D6" s="8">
        <f t="shared" si="0"/>
        <v>0</v>
      </c>
    </row>
    <row r="7" spans="1:5" x14ac:dyDescent="0.3">
      <c r="A7" s="6" t="s">
        <v>39</v>
      </c>
      <c r="B7" s="7">
        <f>COUNTA('4 Compiler Design'!A14:A20)</f>
        <v>7</v>
      </c>
      <c r="C7" s="7">
        <f>COUNTIF('4 Compiler Design'!P14:P20,"Done")</f>
        <v>0</v>
      </c>
      <c r="D7" s="8">
        <f t="shared" si="0"/>
        <v>0</v>
      </c>
    </row>
    <row r="8" spans="1:5" x14ac:dyDescent="0.3">
      <c r="A8" s="6" t="s">
        <v>48</v>
      </c>
      <c r="B8" s="7">
        <f>COUNTA('5 Operating Systems'!A13:A22)</f>
        <v>10</v>
      </c>
      <c r="C8" s="7">
        <f>COUNTIF('5 Operating Systems'!P13:P22,"Done")</f>
        <v>0</v>
      </c>
      <c r="D8" s="8">
        <f t="shared" si="0"/>
        <v>0</v>
      </c>
    </row>
    <row r="9" spans="1:5" x14ac:dyDescent="0.3">
      <c r="A9" s="6" t="s">
        <v>55</v>
      </c>
      <c r="B9" s="7">
        <f>COUNTA('6 Computer Networks'!A13:A20)</f>
        <v>8</v>
      </c>
      <c r="C9" s="7">
        <f>COUNTIF('6 Computer Networks'!P13:P20,"Done")</f>
        <v>0</v>
      </c>
      <c r="D9" s="8">
        <f t="shared" si="0"/>
        <v>0</v>
      </c>
    </row>
    <row r="10" spans="1:5" x14ac:dyDescent="0.3">
      <c r="A10" s="6" t="s">
        <v>63</v>
      </c>
      <c r="B10" s="7">
        <f>COUNTA('7 Engineering Maths'!A5:A56)</f>
        <v>52</v>
      </c>
      <c r="C10" s="7">
        <f>COUNTIF('7 Engineering Maths'!K5:K56,"Done")</f>
        <v>0</v>
      </c>
      <c r="D10" s="8">
        <f t="shared" si="0"/>
        <v>0</v>
      </c>
    </row>
    <row r="11" spans="1:5" x14ac:dyDescent="0.3">
      <c r="A11" s="6" t="s">
        <v>154</v>
      </c>
      <c r="B11" s="7">
        <f>COUNTA('8 Aptitude'!A11:A62)</f>
        <v>52</v>
      </c>
      <c r="C11" s="7">
        <f>COUNTIF('8 Aptitude'!J11:J62,"Done")</f>
        <v>0</v>
      </c>
      <c r="D11" s="8">
        <f t="shared" si="0"/>
        <v>0</v>
      </c>
    </row>
    <row r="12" spans="1:5" x14ac:dyDescent="0.3">
      <c r="A12" s="6" t="s">
        <v>169</v>
      </c>
      <c r="B12" s="7">
        <f>COUNTA('Sunday Revision'!A5:A12)</f>
        <v>8</v>
      </c>
      <c r="C12" s="7">
        <f>COUNTIF('Sunday Revision'!H5:H12,"Done")</f>
        <v>0</v>
      </c>
      <c r="D12" s="8">
        <f t="shared" si="0"/>
        <v>0</v>
      </c>
    </row>
    <row r="13" spans="1:5" x14ac:dyDescent="0.3">
      <c r="A13" s="6" t="s">
        <v>170</v>
      </c>
      <c r="B13" s="7">
        <f>COUNTA('Uni Exams &amp; Wrap-up'!A5:A25)</f>
        <v>21</v>
      </c>
      <c r="C13" s="7">
        <f>COUNTIF('Uni Exams &amp; Wrap-up'!I5:I25,"Done")</f>
        <v>0</v>
      </c>
      <c r="D13" s="8">
        <f t="shared" si="0"/>
        <v>0</v>
      </c>
    </row>
    <row r="15" spans="1:5" ht="15.6" customHeight="1" x14ac:dyDescent="0.3">
      <c r="A15" s="9" t="s">
        <v>171</v>
      </c>
    </row>
    <row r="16" spans="1:5" x14ac:dyDescent="0.3">
      <c r="A16" s="5" t="s">
        <v>172</v>
      </c>
      <c r="B16" s="5" t="s">
        <v>173</v>
      </c>
      <c r="C16" s="5" t="s">
        <v>174</v>
      </c>
      <c r="D16" s="5" t="s">
        <v>133</v>
      </c>
      <c r="E16" s="5" t="s">
        <v>175</v>
      </c>
    </row>
    <row r="17" spans="1:5" x14ac:dyDescent="0.3">
      <c r="A17" s="6" t="s">
        <v>176</v>
      </c>
      <c r="B17" s="10">
        <v>0.1</v>
      </c>
      <c r="C17" s="7" t="s">
        <v>177</v>
      </c>
      <c r="D17" s="8">
        <f>D10</f>
        <v>0</v>
      </c>
      <c r="E17" s="11">
        <f t="shared" ref="E17:E26" si="1">B17*D17</f>
        <v>0</v>
      </c>
    </row>
    <row r="18" spans="1:5" x14ac:dyDescent="0.3">
      <c r="A18" s="6" t="s">
        <v>178</v>
      </c>
      <c r="B18" s="10">
        <v>0.1</v>
      </c>
      <c r="C18" s="7" t="s">
        <v>179</v>
      </c>
      <c r="D18" s="8">
        <v>0</v>
      </c>
      <c r="E18" s="11">
        <f t="shared" si="1"/>
        <v>0</v>
      </c>
    </row>
    <row r="19" spans="1:5" x14ac:dyDescent="0.3">
      <c r="A19" s="6" t="s">
        <v>180</v>
      </c>
      <c r="B19" s="10">
        <v>0.1</v>
      </c>
      <c r="C19" s="7" t="s">
        <v>179</v>
      </c>
      <c r="D19" s="8">
        <v>0</v>
      </c>
      <c r="E19" s="11">
        <f t="shared" si="1"/>
        <v>0</v>
      </c>
    </row>
    <row r="20" spans="1:5" x14ac:dyDescent="0.3">
      <c r="A20" s="6" t="s">
        <v>181</v>
      </c>
      <c r="B20" s="10">
        <v>0.1</v>
      </c>
      <c r="C20" s="7" t="s">
        <v>177</v>
      </c>
      <c r="D20" s="8">
        <f>IF(B4+B5=0,0,(C4+C5)/(B4+B5))</f>
        <v>0</v>
      </c>
      <c r="E20" s="11">
        <f t="shared" si="1"/>
        <v>0</v>
      </c>
    </row>
    <row r="21" spans="1:5" x14ac:dyDescent="0.3">
      <c r="A21" s="6" t="s">
        <v>182</v>
      </c>
      <c r="B21" s="10">
        <v>0.1</v>
      </c>
      <c r="C21" s="7" t="s">
        <v>177</v>
      </c>
      <c r="D21" s="8">
        <f>D6</f>
        <v>0</v>
      </c>
      <c r="E21" s="11">
        <f t="shared" si="1"/>
        <v>0</v>
      </c>
    </row>
    <row r="22" spans="1:5" x14ac:dyDescent="0.3">
      <c r="A22" s="6" t="s">
        <v>183</v>
      </c>
      <c r="B22" s="10">
        <v>0.1</v>
      </c>
      <c r="C22" s="7" t="s">
        <v>179</v>
      </c>
      <c r="D22" s="8">
        <v>0</v>
      </c>
      <c r="E22" s="11">
        <f t="shared" si="1"/>
        <v>0</v>
      </c>
    </row>
    <row r="23" spans="1:5" x14ac:dyDescent="0.3">
      <c r="A23" s="6" t="s">
        <v>39</v>
      </c>
      <c r="B23" s="10">
        <v>0.1</v>
      </c>
      <c r="C23" s="7" t="s">
        <v>177</v>
      </c>
      <c r="D23" s="8">
        <f>D7</f>
        <v>0</v>
      </c>
      <c r="E23" s="11">
        <f t="shared" si="1"/>
        <v>0</v>
      </c>
    </row>
    <row r="24" spans="1:5" x14ac:dyDescent="0.3">
      <c r="A24" s="6" t="s">
        <v>184</v>
      </c>
      <c r="B24" s="10">
        <v>0.1</v>
      </c>
      <c r="C24" s="7" t="s">
        <v>177</v>
      </c>
      <c r="D24" s="8">
        <f>D8</f>
        <v>0</v>
      </c>
      <c r="E24" s="11">
        <f t="shared" si="1"/>
        <v>0</v>
      </c>
    </row>
    <row r="25" spans="1:5" x14ac:dyDescent="0.3">
      <c r="A25" s="6" t="s">
        <v>185</v>
      </c>
      <c r="B25" s="10">
        <v>0.1</v>
      </c>
      <c r="C25" s="7" t="s">
        <v>179</v>
      </c>
      <c r="D25" s="8">
        <v>0</v>
      </c>
      <c r="E25" s="11">
        <f t="shared" si="1"/>
        <v>0</v>
      </c>
    </row>
    <row r="26" spans="1:5" x14ac:dyDescent="0.3">
      <c r="A26" s="6" t="s">
        <v>55</v>
      </c>
      <c r="B26" s="10">
        <v>0.1</v>
      </c>
      <c r="C26" s="7" t="s">
        <v>177</v>
      </c>
      <c r="D26" s="8">
        <f>D9</f>
        <v>0</v>
      </c>
      <c r="E26" s="11">
        <f t="shared" si="1"/>
        <v>0</v>
      </c>
    </row>
    <row r="27" spans="1:5" ht="15.6" customHeight="1" x14ac:dyDescent="0.3">
      <c r="A27" s="12" t="s">
        <v>186</v>
      </c>
      <c r="B27" s="13">
        <f>SUM(B17:B26)</f>
        <v>0.99999999999999989</v>
      </c>
      <c r="C27" s="14"/>
      <c r="D27" s="14"/>
      <c r="E27" s="15">
        <f>SUM(E17:E26)</f>
        <v>0</v>
      </c>
    </row>
    <row r="29" spans="1:5" x14ac:dyDescent="0.3">
      <c r="A29" s="16" t="s">
        <v>187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"/>
  <sheetViews>
    <sheetView zoomScaleNormal="100" workbookViewId="0">
      <pane xSplit="2" ySplit="4" topLeftCell="C82" activePane="bottomRight" state="frozen"/>
      <selection pane="topRight" activeCell="C1" sqref="C1"/>
      <selection pane="bottomLeft" activeCell="A5" sqref="A5"/>
      <selection pane="bottomRight" activeCell="E11" sqref="E11"/>
    </sheetView>
  </sheetViews>
  <sheetFormatPr defaultColWidth="8.6640625" defaultRowHeight="14.4" x14ac:dyDescent="0.3"/>
  <cols>
    <col min="1" max="1" width="11" customWidth="1"/>
    <col min="2" max="2" width="6" customWidth="1"/>
    <col min="3" max="3" width="22" customWidth="1"/>
    <col min="4" max="4" width="20" customWidth="1"/>
    <col min="5" max="5" width="50" customWidth="1"/>
    <col min="6" max="6" width="44" customWidth="1"/>
    <col min="7" max="9" width="9" customWidth="1"/>
    <col min="10" max="10" width="10" customWidth="1"/>
    <col min="11" max="11" width="9" customWidth="1"/>
    <col min="12" max="12" width="36" customWidth="1"/>
  </cols>
  <sheetData>
    <row r="1" spans="1:12" ht="17.399999999999999" customHeight="1" x14ac:dyDescent="0.3">
      <c r="A1" s="34" t="s">
        <v>188</v>
      </c>
      <c r="B1" s="33"/>
      <c r="C1" s="33"/>
      <c r="D1" s="33"/>
      <c r="E1" s="33"/>
    </row>
    <row r="2" spans="1:12" x14ac:dyDescent="0.3">
      <c r="A2" s="32" t="s">
        <v>189</v>
      </c>
      <c r="B2" s="33"/>
      <c r="C2" s="33"/>
      <c r="D2" s="33"/>
      <c r="E2" s="33"/>
    </row>
    <row r="4" spans="1:12" ht="39.6" customHeight="1" x14ac:dyDescent="0.3">
      <c r="A4" s="5" t="s">
        <v>190</v>
      </c>
      <c r="B4" s="5" t="s">
        <v>191</v>
      </c>
      <c r="C4" s="5" t="s">
        <v>192</v>
      </c>
      <c r="D4" s="5" t="s">
        <v>2</v>
      </c>
      <c r="E4" s="5" t="s">
        <v>193</v>
      </c>
      <c r="F4" s="5" t="s">
        <v>194</v>
      </c>
      <c r="G4" s="5" t="s">
        <v>195</v>
      </c>
      <c r="H4" s="5" t="s">
        <v>196</v>
      </c>
      <c r="I4" s="5" t="s">
        <v>197</v>
      </c>
      <c r="J4" s="5" t="s">
        <v>198</v>
      </c>
      <c r="K4" s="5" t="s">
        <v>199</v>
      </c>
      <c r="L4" s="5" t="s">
        <v>200</v>
      </c>
    </row>
    <row r="5" spans="1:12" ht="31.5" customHeight="1" x14ac:dyDescent="0.3">
      <c r="A5" s="17">
        <v>46308</v>
      </c>
      <c r="B5" s="7" t="str">
        <f t="shared" ref="B5:B36" si="0">TEXT(A5,"ddd")</f>
        <v>Tue</v>
      </c>
      <c r="C5" s="6" t="s">
        <v>201</v>
      </c>
      <c r="D5" s="6" t="s">
        <v>9</v>
      </c>
      <c r="E5" s="6" t="s">
        <v>202</v>
      </c>
      <c r="F5" s="6" t="s">
        <v>203</v>
      </c>
      <c r="G5" s="7">
        <v>15</v>
      </c>
      <c r="H5" s="7">
        <v>30</v>
      </c>
      <c r="I5" s="7">
        <v>55</v>
      </c>
      <c r="J5" s="7">
        <v>20</v>
      </c>
      <c r="K5" s="18">
        <f t="shared" ref="K5:K36" si="1">(G5+H5+I5+J5)/60</f>
        <v>2</v>
      </c>
      <c r="L5" s="6"/>
    </row>
    <row r="6" spans="1:12" ht="31.5" customHeight="1" x14ac:dyDescent="0.3">
      <c r="A6" s="17">
        <v>46309</v>
      </c>
      <c r="B6" s="7" t="str">
        <f t="shared" si="0"/>
        <v>Wed</v>
      </c>
      <c r="C6" s="6" t="s">
        <v>201</v>
      </c>
      <c r="D6" s="6" t="s">
        <v>9</v>
      </c>
      <c r="E6" s="6" t="s">
        <v>204</v>
      </c>
      <c r="F6" s="6" t="s">
        <v>205</v>
      </c>
      <c r="G6" s="7">
        <v>15</v>
      </c>
      <c r="H6" s="7">
        <v>30</v>
      </c>
      <c r="I6" s="7">
        <v>55</v>
      </c>
      <c r="J6" s="7">
        <v>20</v>
      </c>
      <c r="K6" s="18">
        <f t="shared" si="1"/>
        <v>2</v>
      </c>
      <c r="L6" s="6"/>
    </row>
    <row r="7" spans="1:12" ht="31.5" customHeight="1" x14ac:dyDescent="0.3">
      <c r="A7" s="17">
        <v>46310</v>
      </c>
      <c r="B7" s="7" t="str">
        <f t="shared" si="0"/>
        <v>Thu</v>
      </c>
      <c r="C7" s="6" t="s">
        <v>201</v>
      </c>
      <c r="D7" s="6" t="s">
        <v>9</v>
      </c>
      <c r="E7" s="6" t="s">
        <v>206</v>
      </c>
      <c r="F7" s="6" t="s">
        <v>207</v>
      </c>
      <c r="G7" s="7">
        <v>15</v>
      </c>
      <c r="H7" s="7">
        <v>30</v>
      </c>
      <c r="I7" s="7">
        <v>55</v>
      </c>
      <c r="J7" s="7">
        <v>20</v>
      </c>
      <c r="K7" s="18">
        <f t="shared" si="1"/>
        <v>2</v>
      </c>
      <c r="L7" s="6"/>
    </row>
    <row r="8" spans="1:12" ht="31.5" customHeight="1" x14ac:dyDescent="0.3">
      <c r="A8" s="17">
        <v>46311</v>
      </c>
      <c r="B8" s="7" t="str">
        <f t="shared" si="0"/>
        <v>Fri</v>
      </c>
      <c r="C8" s="6" t="s">
        <v>201</v>
      </c>
      <c r="D8" s="6" t="s">
        <v>9</v>
      </c>
      <c r="E8" s="6" t="s">
        <v>208</v>
      </c>
      <c r="F8" s="6" t="s">
        <v>209</v>
      </c>
      <c r="G8" s="7">
        <v>15</v>
      </c>
      <c r="H8" s="7">
        <v>30</v>
      </c>
      <c r="I8" s="7">
        <v>55</v>
      </c>
      <c r="J8" s="7">
        <v>20</v>
      </c>
      <c r="K8" s="18">
        <f t="shared" si="1"/>
        <v>2</v>
      </c>
      <c r="L8" s="6"/>
    </row>
    <row r="9" spans="1:12" ht="31.5" customHeight="1" x14ac:dyDescent="0.3">
      <c r="A9" s="17">
        <v>46312</v>
      </c>
      <c r="B9" s="7" t="str">
        <f t="shared" si="0"/>
        <v>Sat</v>
      </c>
      <c r="C9" s="6" t="s">
        <v>201</v>
      </c>
      <c r="D9" s="6" t="s">
        <v>9</v>
      </c>
      <c r="E9" s="6" t="s">
        <v>210</v>
      </c>
      <c r="F9" s="6" t="s">
        <v>211</v>
      </c>
      <c r="G9" s="7">
        <v>15</v>
      </c>
      <c r="H9" s="7">
        <v>30</v>
      </c>
      <c r="I9" s="7">
        <v>55</v>
      </c>
      <c r="J9" s="7">
        <v>20</v>
      </c>
      <c r="K9" s="18">
        <f t="shared" si="1"/>
        <v>2</v>
      </c>
      <c r="L9" s="6"/>
    </row>
    <row r="10" spans="1:12" ht="31.5" customHeight="1" x14ac:dyDescent="0.3">
      <c r="A10" s="19">
        <v>46313</v>
      </c>
      <c r="B10" s="20" t="str">
        <f t="shared" si="0"/>
        <v>Sun</v>
      </c>
      <c r="C10" s="21" t="s">
        <v>212</v>
      </c>
      <c r="D10" s="21" t="s">
        <v>213</v>
      </c>
      <c r="E10" s="21" t="s">
        <v>214</v>
      </c>
      <c r="F10" s="21" t="s">
        <v>215</v>
      </c>
      <c r="G10" s="20">
        <v>30</v>
      </c>
      <c r="H10" s="20">
        <v>0</v>
      </c>
      <c r="I10" s="20">
        <v>90</v>
      </c>
      <c r="J10" s="20">
        <v>60</v>
      </c>
      <c r="K10" s="22">
        <f t="shared" si="1"/>
        <v>3</v>
      </c>
      <c r="L10" s="21"/>
    </row>
    <row r="11" spans="1:12" ht="31.5" customHeight="1" x14ac:dyDescent="0.3">
      <c r="A11" s="17">
        <v>46314</v>
      </c>
      <c r="B11" s="7" t="str">
        <f t="shared" si="0"/>
        <v>Mon</v>
      </c>
      <c r="C11" s="6" t="s">
        <v>201</v>
      </c>
      <c r="D11" s="6" t="s">
        <v>19</v>
      </c>
      <c r="E11" s="6" t="s">
        <v>216</v>
      </c>
      <c r="F11" s="6" t="s">
        <v>217</v>
      </c>
      <c r="G11" s="7">
        <v>20</v>
      </c>
      <c r="H11" s="7">
        <v>35</v>
      </c>
      <c r="I11" s="7">
        <v>65</v>
      </c>
      <c r="J11" s="7">
        <v>30</v>
      </c>
      <c r="K11" s="18">
        <f t="shared" si="1"/>
        <v>2.5</v>
      </c>
      <c r="L11" s="6"/>
    </row>
    <row r="12" spans="1:12" ht="31.5" customHeight="1" x14ac:dyDescent="0.3">
      <c r="A12" s="17">
        <v>46315</v>
      </c>
      <c r="B12" s="7" t="str">
        <f t="shared" si="0"/>
        <v>Tue</v>
      </c>
      <c r="C12" s="6" t="s">
        <v>201</v>
      </c>
      <c r="D12" s="6" t="s">
        <v>19</v>
      </c>
      <c r="E12" s="6" t="s">
        <v>218</v>
      </c>
      <c r="F12" s="6" t="s">
        <v>219</v>
      </c>
      <c r="G12" s="7">
        <v>20</v>
      </c>
      <c r="H12" s="7">
        <v>35</v>
      </c>
      <c r="I12" s="7">
        <v>65</v>
      </c>
      <c r="J12" s="7">
        <v>30</v>
      </c>
      <c r="K12" s="18">
        <f t="shared" si="1"/>
        <v>2.5</v>
      </c>
      <c r="L12" s="6"/>
    </row>
    <row r="13" spans="1:12" ht="31.5" customHeight="1" x14ac:dyDescent="0.3">
      <c r="A13" s="17">
        <v>46316</v>
      </c>
      <c r="B13" s="7" t="str">
        <f t="shared" si="0"/>
        <v>Wed</v>
      </c>
      <c r="C13" s="6" t="s">
        <v>201</v>
      </c>
      <c r="D13" s="6" t="s">
        <v>19</v>
      </c>
      <c r="E13" s="6" t="s">
        <v>220</v>
      </c>
      <c r="F13" s="6" t="s">
        <v>221</v>
      </c>
      <c r="G13" s="7">
        <v>20</v>
      </c>
      <c r="H13" s="7">
        <v>35</v>
      </c>
      <c r="I13" s="7">
        <v>65</v>
      </c>
      <c r="J13" s="7">
        <v>30</v>
      </c>
      <c r="K13" s="18">
        <f t="shared" si="1"/>
        <v>2.5</v>
      </c>
      <c r="L13" s="6"/>
    </row>
    <row r="14" spans="1:12" ht="31.5" customHeight="1" x14ac:dyDescent="0.3">
      <c r="A14" s="17">
        <v>46317</v>
      </c>
      <c r="B14" s="7" t="str">
        <f t="shared" si="0"/>
        <v>Thu</v>
      </c>
      <c r="C14" s="6" t="s">
        <v>201</v>
      </c>
      <c r="D14" s="6" t="s">
        <v>19</v>
      </c>
      <c r="E14" s="6" t="s">
        <v>222</v>
      </c>
      <c r="F14" s="6" t="s">
        <v>223</v>
      </c>
      <c r="G14" s="7">
        <v>20</v>
      </c>
      <c r="H14" s="7">
        <v>35</v>
      </c>
      <c r="I14" s="7">
        <v>65</v>
      </c>
      <c r="J14" s="7">
        <v>30</v>
      </c>
      <c r="K14" s="18">
        <f t="shared" si="1"/>
        <v>2.5</v>
      </c>
      <c r="L14" s="6"/>
    </row>
    <row r="15" spans="1:12" ht="31.5" customHeight="1" x14ac:dyDescent="0.3">
      <c r="A15" s="17">
        <v>46318</v>
      </c>
      <c r="B15" s="7" t="str">
        <f t="shared" si="0"/>
        <v>Fri</v>
      </c>
      <c r="C15" s="6" t="s">
        <v>201</v>
      </c>
      <c r="D15" s="6" t="s">
        <v>19</v>
      </c>
      <c r="E15" s="6" t="s">
        <v>224</v>
      </c>
      <c r="F15" s="6" t="s">
        <v>225</v>
      </c>
      <c r="G15" s="7">
        <v>20</v>
      </c>
      <c r="H15" s="7">
        <v>35</v>
      </c>
      <c r="I15" s="7">
        <v>65</v>
      </c>
      <c r="J15" s="7">
        <v>30</v>
      </c>
      <c r="K15" s="18">
        <f t="shared" si="1"/>
        <v>2.5</v>
      </c>
      <c r="L15" s="6"/>
    </row>
    <row r="16" spans="1:12" ht="31.5" customHeight="1" x14ac:dyDescent="0.3">
      <c r="A16" s="17">
        <v>46319</v>
      </c>
      <c r="B16" s="7" t="str">
        <f t="shared" si="0"/>
        <v>Sat</v>
      </c>
      <c r="C16" s="6" t="s">
        <v>201</v>
      </c>
      <c r="D16" s="6" t="s">
        <v>19</v>
      </c>
      <c r="E16" s="6" t="s">
        <v>226</v>
      </c>
      <c r="F16" s="6" t="s">
        <v>227</v>
      </c>
      <c r="G16" s="7">
        <v>20</v>
      </c>
      <c r="H16" s="7">
        <v>35</v>
      </c>
      <c r="I16" s="7">
        <v>65</v>
      </c>
      <c r="J16" s="7">
        <v>30</v>
      </c>
      <c r="K16" s="18">
        <f t="shared" si="1"/>
        <v>2.5</v>
      </c>
      <c r="L16" s="6"/>
    </row>
    <row r="17" spans="1:12" ht="31.5" customHeight="1" x14ac:dyDescent="0.3">
      <c r="A17" s="19">
        <v>46320</v>
      </c>
      <c r="B17" s="20" t="str">
        <f t="shared" si="0"/>
        <v>Sun</v>
      </c>
      <c r="C17" s="21" t="s">
        <v>212</v>
      </c>
      <c r="D17" s="21" t="s">
        <v>213</v>
      </c>
      <c r="E17" s="21" t="s">
        <v>214</v>
      </c>
      <c r="F17" s="21" t="s">
        <v>215</v>
      </c>
      <c r="G17" s="20">
        <v>30</v>
      </c>
      <c r="H17" s="20">
        <v>0</v>
      </c>
      <c r="I17" s="20">
        <v>90</v>
      </c>
      <c r="J17" s="20">
        <v>60</v>
      </c>
      <c r="K17" s="22">
        <f t="shared" si="1"/>
        <v>3</v>
      </c>
      <c r="L17" s="21"/>
    </row>
    <row r="18" spans="1:12" ht="31.5" customHeight="1" x14ac:dyDescent="0.3">
      <c r="A18" s="17">
        <v>46321</v>
      </c>
      <c r="B18" s="7" t="str">
        <f t="shared" si="0"/>
        <v>Mon</v>
      </c>
      <c r="C18" s="6" t="s">
        <v>201</v>
      </c>
      <c r="D18" s="6" t="s">
        <v>19</v>
      </c>
      <c r="E18" s="6" t="s">
        <v>228</v>
      </c>
      <c r="F18" s="6" t="s">
        <v>229</v>
      </c>
      <c r="G18" s="7">
        <v>20</v>
      </c>
      <c r="H18" s="7">
        <v>40</v>
      </c>
      <c r="I18" s="7">
        <v>75</v>
      </c>
      <c r="J18" s="7">
        <v>45</v>
      </c>
      <c r="K18" s="18">
        <f t="shared" si="1"/>
        <v>3</v>
      </c>
      <c r="L18" s="6"/>
    </row>
    <row r="19" spans="1:12" ht="31.5" customHeight="1" x14ac:dyDescent="0.3">
      <c r="A19" s="17">
        <v>46322</v>
      </c>
      <c r="B19" s="7" t="str">
        <f t="shared" si="0"/>
        <v>Tue</v>
      </c>
      <c r="C19" s="6" t="s">
        <v>201</v>
      </c>
      <c r="D19" s="6" t="s">
        <v>19</v>
      </c>
      <c r="E19" s="6" t="s">
        <v>230</v>
      </c>
      <c r="F19" s="6" t="s">
        <v>231</v>
      </c>
      <c r="G19" s="7">
        <v>20</v>
      </c>
      <c r="H19" s="7">
        <v>40</v>
      </c>
      <c r="I19" s="7">
        <v>75</v>
      </c>
      <c r="J19" s="7">
        <v>45</v>
      </c>
      <c r="K19" s="18">
        <f t="shared" si="1"/>
        <v>3</v>
      </c>
      <c r="L19" s="6"/>
    </row>
    <row r="20" spans="1:12" ht="31.5" customHeight="1" x14ac:dyDescent="0.3">
      <c r="A20" s="17">
        <v>46323</v>
      </c>
      <c r="B20" s="7" t="str">
        <f t="shared" si="0"/>
        <v>Wed</v>
      </c>
      <c r="C20" s="6" t="s">
        <v>201</v>
      </c>
      <c r="D20" s="6" t="s">
        <v>19</v>
      </c>
      <c r="E20" s="6" t="s">
        <v>232</v>
      </c>
      <c r="F20" s="6" t="s">
        <v>233</v>
      </c>
      <c r="G20" s="7">
        <v>20</v>
      </c>
      <c r="H20" s="7">
        <v>40</v>
      </c>
      <c r="I20" s="7">
        <v>75</v>
      </c>
      <c r="J20" s="7">
        <v>45</v>
      </c>
      <c r="K20" s="18">
        <f t="shared" si="1"/>
        <v>3</v>
      </c>
      <c r="L20" s="6"/>
    </row>
    <row r="21" spans="1:12" ht="31.5" customHeight="1" x14ac:dyDescent="0.3">
      <c r="A21" s="17">
        <v>46324</v>
      </c>
      <c r="B21" s="7" t="str">
        <f t="shared" si="0"/>
        <v>Thu</v>
      </c>
      <c r="C21" s="6" t="s">
        <v>234</v>
      </c>
      <c r="D21" s="6" t="s">
        <v>30</v>
      </c>
      <c r="E21" s="6" t="s">
        <v>235</v>
      </c>
      <c r="F21" s="6" t="s">
        <v>236</v>
      </c>
      <c r="G21" s="7">
        <v>20</v>
      </c>
      <c r="H21" s="7">
        <v>40</v>
      </c>
      <c r="I21" s="7">
        <v>75</v>
      </c>
      <c r="J21" s="7">
        <v>45</v>
      </c>
      <c r="K21" s="18">
        <f t="shared" si="1"/>
        <v>3</v>
      </c>
      <c r="L21" s="6"/>
    </row>
    <row r="22" spans="1:12" ht="31.5" customHeight="1" x14ac:dyDescent="0.3">
      <c r="A22" s="17">
        <v>46325</v>
      </c>
      <c r="B22" s="7" t="str">
        <f t="shared" si="0"/>
        <v>Fri</v>
      </c>
      <c r="C22" s="6" t="s">
        <v>234</v>
      </c>
      <c r="D22" s="6" t="s">
        <v>30</v>
      </c>
      <c r="E22" s="6" t="s">
        <v>237</v>
      </c>
      <c r="F22" s="6" t="s">
        <v>238</v>
      </c>
      <c r="G22" s="7">
        <v>20</v>
      </c>
      <c r="H22" s="7">
        <v>40</v>
      </c>
      <c r="I22" s="7">
        <v>75</v>
      </c>
      <c r="J22" s="7">
        <v>45</v>
      </c>
      <c r="K22" s="18">
        <f t="shared" si="1"/>
        <v>3</v>
      </c>
      <c r="L22" s="6"/>
    </row>
    <row r="23" spans="1:12" ht="31.5" customHeight="1" x14ac:dyDescent="0.3">
      <c r="A23" s="17">
        <v>46326</v>
      </c>
      <c r="B23" s="7" t="str">
        <f t="shared" si="0"/>
        <v>Sat</v>
      </c>
      <c r="C23" s="6" t="s">
        <v>234</v>
      </c>
      <c r="D23" s="6" t="s">
        <v>30</v>
      </c>
      <c r="E23" s="6" t="s">
        <v>239</v>
      </c>
      <c r="F23" s="6" t="s">
        <v>240</v>
      </c>
      <c r="G23" s="7">
        <v>20</v>
      </c>
      <c r="H23" s="7">
        <v>40</v>
      </c>
      <c r="I23" s="7">
        <v>75</v>
      </c>
      <c r="J23" s="7">
        <v>45</v>
      </c>
      <c r="K23" s="18">
        <f t="shared" si="1"/>
        <v>3</v>
      </c>
      <c r="L23" s="6"/>
    </row>
    <row r="24" spans="1:12" ht="31.5" customHeight="1" x14ac:dyDescent="0.3">
      <c r="A24" s="19">
        <v>46327</v>
      </c>
      <c r="B24" s="20" t="str">
        <f t="shared" si="0"/>
        <v>Sun</v>
      </c>
      <c r="C24" s="21" t="s">
        <v>212</v>
      </c>
      <c r="D24" s="21" t="s">
        <v>213</v>
      </c>
      <c r="E24" s="21" t="s">
        <v>214</v>
      </c>
      <c r="F24" s="21" t="s">
        <v>215</v>
      </c>
      <c r="G24" s="20">
        <v>30</v>
      </c>
      <c r="H24" s="20">
        <v>0</v>
      </c>
      <c r="I24" s="20">
        <v>90</v>
      </c>
      <c r="J24" s="20">
        <v>60</v>
      </c>
      <c r="K24" s="22">
        <f t="shared" si="1"/>
        <v>3</v>
      </c>
      <c r="L24" s="21"/>
    </row>
    <row r="25" spans="1:12" ht="31.5" customHeight="1" x14ac:dyDescent="0.3">
      <c r="A25" s="17">
        <v>46328</v>
      </c>
      <c r="B25" s="7" t="str">
        <f t="shared" si="0"/>
        <v>Mon</v>
      </c>
      <c r="C25" s="6" t="s">
        <v>234</v>
      </c>
      <c r="D25" s="6" t="s">
        <v>30</v>
      </c>
      <c r="E25" s="6" t="s">
        <v>241</v>
      </c>
      <c r="F25" s="6" t="s">
        <v>242</v>
      </c>
      <c r="G25" s="7">
        <v>20</v>
      </c>
      <c r="H25" s="7">
        <v>40</v>
      </c>
      <c r="I25" s="7">
        <v>75</v>
      </c>
      <c r="J25" s="7">
        <v>45</v>
      </c>
      <c r="K25" s="18">
        <f t="shared" si="1"/>
        <v>3</v>
      </c>
      <c r="L25" s="6"/>
    </row>
    <row r="26" spans="1:12" ht="31.5" customHeight="1" x14ac:dyDescent="0.3">
      <c r="A26" s="17">
        <v>46329</v>
      </c>
      <c r="B26" s="7" t="str">
        <f t="shared" si="0"/>
        <v>Tue</v>
      </c>
      <c r="C26" s="6" t="s">
        <v>234</v>
      </c>
      <c r="D26" s="6" t="s">
        <v>30</v>
      </c>
      <c r="E26" s="6" t="s">
        <v>243</v>
      </c>
      <c r="F26" s="6" t="s">
        <v>244</v>
      </c>
      <c r="G26" s="7">
        <v>20</v>
      </c>
      <c r="H26" s="7">
        <v>40</v>
      </c>
      <c r="I26" s="7">
        <v>75</v>
      </c>
      <c r="J26" s="7">
        <v>45</v>
      </c>
      <c r="K26" s="18">
        <f t="shared" si="1"/>
        <v>3</v>
      </c>
      <c r="L26" s="6"/>
    </row>
    <row r="27" spans="1:12" ht="31.5" customHeight="1" x14ac:dyDescent="0.3">
      <c r="A27" s="17">
        <v>46330</v>
      </c>
      <c r="B27" s="7" t="str">
        <f t="shared" si="0"/>
        <v>Wed</v>
      </c>
      <c r="C27" s="6" t="s">
        <v>234</v>
      </c>
      <c r="D27" s="6" t="s">
        <v>30</v>
      </c>
      <c r="E27" s="6" t="s">
        <v>245</v>
      </c>
      <c r="F27" s="6" t="s">
        <v>246</v>
      </c>
      <c r="G27" s="7">
        <v>20</v>
      </c>
      <c r="H27" s="7">
        <v>40</v>
      </c>
      <c r="I27" s="7">
        <v>75</v>
      </c>
      <c r="J27" s="7">
        <v>45</v>
      </c>
      <c r="K27" s="18">
        <f t="shared" si="1"/>
        <v>3</v>
      </c>
      <c r="L27" s="6"/>
    </row>
    <row r="28" spans="1:12" ht="31.5" customHeight="1" x14ac:dyDescent="0.3">
      <c r="A28" s="17">
        <v>46331</v>
      </c>
      <c r="B28" s="7" t="str">
        <f t="shared" si="0"/>
        <v>Thu</v>
      </c>
      <c r="C28" s="6" t="s">
        <v>234</v>
      </c>
      <c r="D28" s="6" t="s">
        <v>30</v>
      </c>
      <c r="E28" s="6" t="s">
        <v>247</v>
      </c>
      <c r="F28" s="6" t="s">
        <v>248</v>
      </c>
      <c r="G28" s="7">
        <v>20</v>
      </c>
      <c r="H28" s="7">
        <v>40</v>
      </c>
      <c r="I28" s="7">
        <v>75</v>
      </c>
      <c r="J28" s="7">
        <v>45</v>
      </c>
      <c r="K28" s="18">
        <f t="shared" si="1"/>
        <v>3</v>
      </c>
      <c r="L28" s="6"/>
    </row>
    <row r="29" spans="1:12" ht="31.5" customHeight="1" x14ac:dyDescent="0.3">
      <c r="A29" s="17">
        <v>46332</v>
      </c>
      <c r="B29" s="7" t="str">
        <f t="shared" si="0"/>
        <v>Fri</v>
      </c>
      <c r="C29" s="6" t="s">
        <v>234</v>
      </c>
      <c r="D29" s="6" t="s">
        <v>30</v>
      </c>
      <c r="E29" s="6" t="s">
        <v>249</v>
      </c>
      <c r="F29" s="6" t="s">
        <v>250</v>
      </c>
      <c r="G29" s="7">
        <v>20</v>
      </c>
      <c r="H29" s="7">
        <v>40</v>
      </c>
      <c r="I29" s="7">
        <v>75</v>
      </c>
      <c r="J29" s="7">
        <v>45</v>
      </c>
      <c r="K29" s="18">
        <f t="shared" si="1"/>
        <v>3</v>
      </c>
      <c r="L29" s="6"/>
    </row>
    <row r="30" spans="1:12" ht="31.5" customHeight="1" x14ac:dyDescent="0.3">
      <c r="A30" s="17">
        <v>46333</v>
      </c>
      <c r="B30" s="7" t="str">
        <f t="shared" si="0"/>
        <v>Sat</v>
      </c>
      <c r="C30" s="6" t="s">
        <v>234</v>
      </c>
      <c r="D30" s="6" t="s">
        <v>30</v>
      </c>
      <c r="E30" s="6" t="s">
        <v>251</v>
      </c>
      <c r="F30" s="6" t="s">
        <v>252</v>
      </c>
      <c r="G30" s="7">
        <v>20</v>
      </c>
      <c r="H30" s="7">
        <v>40</v>
      </c>
      <c r="I30" s="7">
        <v>75</v>
      </c>
      <c r="J30" s="7">
        <v>45</v>
      </c>
      <c r="K30" s="18">
        <f t="shared" si="1"/>
        <v>3</v>
      </c>
      <c r="L30" s="6"/>
    </row>
    <row r="31" spans="1:12" ht="31.5" customHeight="1" x14ac:dyDescent="0.3">
      <c r="A31" s="19">
        <v>46334</v>
      </c>
      <c r="B31" s="20" t="str">
        <f t="shared" si="0"/>
        <v>Sun</v>
      </c>
      <c r="C31" s="21" t="s">
        <v>212</v>
      </c>
      <c r="D31" s="21" t="s">
        <v>213</v>
      </c>
      <c r="E31" s="21" t="s">
        <v>253</v>
      </c>
      <c r="F31" s="21"/>
      <c r="G31" s="20">
        <v>20</v>
      </c>
      <c r="H31" s="20">
        <v>0</v>
      </c>
      <c r="I31" s="20">
        <v>0</v>
      </c>
      <c r="J31" s="20">
        <v>40</v>
      </c>
      <c r="K31" s="22">
        <f t="shared" si="1"/>
        <v>1</v>
      </c>
      <c r="L31" s="21" t="s">
        <v>254</v>
      </c>
    </row>
    <row r="32" spans="1:12" ht="31.5" customHeight="1" x14ac:dyDescent="0.3">
      <c r="A32" s="17">
        <v>46335</v>
      </c>
      <c r="B32" s="7" t="str">
        <f t="shared" si="0"/>
        <v>Mon</v>
      </c>
      <c r="C32" s="6" t="s">
        <v>234</v>
      </c>
      <c r="D32" s="6" t="s">
        <v>30</v>
      </c>
      <c r="E32" s="6" t="s">
        <v>255</v>
      </c>
      <c r="F32" s="6" t="s">
        <v>256</v>
      </c>
      <c r="G32" s="7">
        <v>20</v>
      </c>
      <c r="H32" s="7">
        <v>40</v>
      </c>
      <c r="I32" s="7">
        <v>75</v>
      </c>
      <c r="J32" s="7">
        <v>45</v>
      </c>
      <c r="K32" s="18">
        <f t="shared" si="1"/>
        <v>3</v>
      </c>
      <c r="L32" s="6"/>
    </row>
    <row r="33" spans="1:12" ht="31.5" customHeight="1" x14ac:dyDescent="0.3">
      <c r="A33" s="17">
        <v>46336</v>
      </c>
      <c r="B33" s="7" t="str">
        <f t="shared" si="0"/>
        <v>Tue</v>
      </c>
      <c r="C33" s="6" t="s">
        <v>234</v>
      </c>
      <c r="D33" s="6" t="s">
        <v>30</v>
      </c>
      <c r="E33" s="6" t="s">
        <v>257</v>
      </c>
      <c r="F33" s="6" t="s">
        <v>258</v>
      </c>
      <c r="G33" s="7">
        <v>20</v>
      </c>
      <c r="H33" s="7">
        <v>40</v>
      </c>
      <c r="I33" s="7">
        <v>75</v>
      </c>
      <c r="J33" s="7">
        <v>45</v>
      </c>
      <c r="K33" s="18">
        <f t="shared" si="1"/>
        <v>3</v>
      </c>
      <c r="L33" s="6"/>
    </row>
    <row r="34" spans="1:12" ht="31.5" customHeight="1" x14ac:dyDescent="0.3">
      <c r="A34" s="17">
        <v>46337</v>
      </c>
      <c r="B34" s="7" t="str">
        <f t="shared" si="0"/>
        <v>Wed</v>
      </c>
      <c r="C34" s="6" t="s">
        <v>234</v>
      </c>
      <c r="D34" s="6" t="s">
        <v>30</v>
      </c>
      <c r="E34" s="6" t="s">
        <v>259</v>
      </c>
      <c r="F34" s="6" t="s">
        <v>260</v>
      </c>
      <c r="G34" s="7">
        <v>20</v>
      </c>
      <c r="H34" s="7">
        <v>40</v>
      </c>
      <c r="I34" s="7">
        <v>75</v>
      </c>
      <c r="J34" s="7">
        <v>45</v>
      </c>
      <c r="K34" s="18">
        <f t="shared" si="1"/>
        <v>3</v>
      </c>
      <c r="L34" s="6"/>
    </row>
    <row r="35" spans="1:12" ht="31.5" customHeight="1" x14ac:dyDescent="0.3">
      <c r="A35" s="17">
        <v>46338</v>
      </c>
      <c r="B35" s="7" t="str">
        <f t="shared" si="0"/>
        <v>Thu</v>
      </c>
      <c r="C35" s="6" t="s">
        <v>234</v>
      </c>
      <c r="D35" s="6" t="s">
        <v>30</v>
      </c>
      <c r="E35" s="6" t="s">
        <v>261</v>
      </c>
      <c r="F35" s="6" t="s">
        <v>262</v>
      </c>
      <c r="G35" s="7">
        <v>20</v>
      </c>
      <c r="H35" s="7">
        <v>40</v>
      </c>
      <c r="I35" s="7">
        <v>75</v>
      </c>
      <c r="J35" s="7">
        <v>45</v>
      </c>
      <c r="K35" s="18">
        <f t="shared" si="1"/>
        <v>3</v>
      </c>
      <c r="L35" s="6"/>
    </row>
    <row r="36" spans="1:12" ht="31.5" customHeight="1" x14ac:dyDescent="0.3">
      <c r="A36" s="17">
        <v>46339</v>
      </c>
      <c r="B36" s="7" t="str">
        <f t="shared" si="0"/>
        <v>Fri</v>
      </c>
      <c r="C36" s="6" t="s">
        <v>234</v>
      </c>
      <c r="D36" s="6" t="s">
        <v>39</v>
      </c>
      <c r="E36" s="6" t="s">
        <v>263</v>
      </c>
      <c r="F36" s="6" t="s">
        <v>264</v>
      </c>
      <c r="G36" s="7">
        <v>20</v>
      </c>
      <c r="H36" s="7">
        <v>40</v>
      </c>
      <c r="I36" s="7">
        <v>75</v>
      </c>
      <c r="J36" s="7">
        <v>45</v>
      </c>
      <c r="K36" s="18">
        <f t="shared" si="1"/>
        <v>3</v>
      </c>
      <c r="L36" s="6"/>
    </row>
    <row r="37" spans="1:12" ht="31.5" customHeight="1" x14ac:dyDescent="0.3">
      <c r="A37" s="17">
        <v>46340</v>
      </c>
      <c r="B37" s="7" t="str">
        <f t="shared" ref="B37:B68" si="2">TEXT(A37,"ddd")</f>
        <v>Sat</v>
      </c>
      <c r="C37" s="6" t="s">
        <v>234</v>
      </c>
      <c r="D37" s="6" t="s">
        <v>39</v>
      </c>
      <c r="E37" s="6" t="s">
        <v>265</v>
      </c>
      <c r="F37" s="6" t="s">
        <v>266</v>
      </c>
      <c r="G37" s="7">
        <v>20</v>
      </c>
      <c r="H37" s="7">
        <v>40</v>
      </c>
      <c r="I37" s="7">
        <v>75</v>
      </c>
      <c r="J37" s="7">
        <v>45</v>
      </c>
      <c r="K37" s="18">
        <f t="shared" ref="K37:K68" si="3">(G37+H37+I37+J37)/60</f>
        <v>3</v>
      </c>
      <c r="L37" s="6"/>
    </row>
    <row r="38" spans="1:12" ht="31.5" customHeight="1" x14ac:dyDescent="0.3">
      <c r="A38" s="19">
        <v>46341</v>
      </c>
      <c r="B38" s="20" t="str">
        <f t="shared" si="2"/>
        <v>Sun</v>
      </c>
      <c r="C38" s="21" t="s">
        <v>212</v>
      </c>
      <c r="D38" s="21" t="s">
        <v>213</v>
      </c>
      <c r="E38" s="21" t="s">
        <v>214</v>
      </c>
      <c r="F38" s="21" t="s">
        <v>215</v>
      </c>
      <c r="G38" s="20">
        <v>30</v>
      </c>
      <c r="H38" s="20">
        <v>0</v>
      </c>
      <c r="I38" s="20">
        <v>90</v>
      </c>
      <c r="J38" s="20">
        <v>60</v>
      </c>
      <c r="K38" s="22">
        <f t="shared" si="3"/>
        <v>3</v>
      </c>
      <c r="L38" s="21"/>
    </row>
    <row r="39" spans="1:12" ht="31.5" customHeight="1" x14ac:dyDescent="0.3">
      <c r="A39" s="17">
        <v>46342</v>
      </c>
      <c r="B39" s="7" t="str">
        <f t="shared" si="2"/>
        <v>Mon</v>
      </c>
      <c r="C39" s="6" t="s">
        <v>234</v>
      </c>
      <c r="D39" s="6" t="s">
        <v>39</v>
      </c>
      <c r="E39" s="6" t="s">
        <v>267</v>
      </c>
      <c r="F39" s="6" t="s">
        <v>268</v>
      </c>
      <c r="G39" s="7">
        <v>20</v>
      </c>
      <c r="H39" s="7">
        <v>40</v>
      </c>
      <c r="I39" s="7">
        <v>75</v>
      </c>
      <c r="J39" s="7">
        <v>45</v>
      </c>
      <c r="K39" s="18">
        <f t="shared" si="3"/>
        <v>3</v>
      </c>
      <c r="L39" s="6"/>
    </row>
    <row r="40" spans="1:12" ht="31.5" customHeight="1" x14ac:dyDescent="0.3">
      <c r="A40" s="17">
        <v>46343</v>
      </c>
      <c r="B40" s="7" t="str">
        <f t="shared" si="2"/>
        <v>Tue</v>
      </c>
      <c r="C40" s="6" t="s">
        <v>234</v>
      </c>
      <c r="D40" s="6" t="s">
        <v>39</v>
      </c>
      <c r="E40" s="6" t="s">
        <v>269</v>
      </c>
      <c r="F40" s="6" t="s">
        <v>270</v>
      </c>
      <c r="G40" s="7">
        <v>20</v>
      </c>
      <c r="H40" s="7">
        <v>40</v>
      </c>
      <c r="I40" s="7">
        <v>75</v>
      </c>
      <c r="J40" s="7">
        <v>45</v>
      </c>
      <c r="K40" s="18">
        <f t="shared" si="3"/>
        <v>3</v>
      </c>
      <c r="L40" s="6"/>
    </row>
    <row r="41" spans="1:12" ht="31.5" customHeight="1" x14ac:dyDescent="0.3">
      <c r="A41" s="17">
        <v>46344</v>
      </c>
      <c r="B41" s="7" t="str">
        <f t="shared" si="2"/>
        <v>Wed</v>
      </c>
      <c r="C41" s="6" t="s">
        <v>234</v>
      </c>
      <c r="D41" s="6" t="s">
        <v>39</v>
      </c>
      <c r="E41" s="6" t="s">
        <v>271</v>
      </c>
      <c r="F41" s="6" t="s">
        <v>272</v>
      </c>
      <c r="G41" s="7">
        <v>20</v>
      </c>
      <c r="H41" s="7">
        <v>40</v>
      </c>
      <c r="I41" s="7">
        <v>75</v>
      </c>
      <c r="J41" s="7">
        <v>45</v>
      </c>
      <c r="K41" s="18">
        <f t="shared" si="3"/>
        <v>3</v>
      </c>
      <c r="L41" s="6"/>
    </row>
    <row r="42" spans="1:12" ht="31.5" customHeight="1" x14ac:dyDescent="0.3">
      <c r="A42" s="17">
        <v>46345</v>
      </c>
      <c r="B42" s="7" t="str">
        <f t="shared" si="2"/>
        <v>Thu</v>
      </c>
      <c r="C42" s="6" t="s">
        <v>234</v>
      </c>
      <c r="D42" s="6" t="s">
        <v>39</v>
      </c>
      <c r="E42" s="6" t="s">
        <v>273</v>
      </c>
      <c r="F42" s="6" t="s">
        <v>274</v>
      </c>
      <c r="G42" s="7">
        <v>20</v>
      </c>
      <c r="H42" s="7">
        <v>40</v>
      </c>
      <c r="I42" s="7">
        <v>75</v>
      </c>
      <c r="J42" s="7">
        <v>45</v>
      </c>
      <c r="K42" s="18">
        <f t="shared" si="3"/>
        <v>3</v>
      </c>
      <c r="L42" s="6"/>
    </row>
    <row r="43" spans="1:12" ht="31.5" customHeight="1" x14ac:dyDescent="0.3">
      <c r="A43" s="17">
        <v>46346</v>
      </c>
      <c r="B43" s="7" t="str">
        <f t="shared" si="2"/>
        <v>Fri</v>
      </c>
      <c r="C43" s="6" t="s">
        <v>234</v>
      </c>
      <c r="D43" s="6" t="s">
        <v>39</v>
      </c>
      <c r="E43" s="6" t="s">
        <v>275</v>
      </c>
      <c r="F43" s="6" t="s">
        <v>276</v>
      </c>
      <c r="G43" s="7">
        <v>20</v>
      </c>
      <c r="H43" s="7">
        <v>40</v>
      </c>
      <c r="I43" s="7">
        <v>75</v>
      </c>
      <c r="J43" s="7">
        <v>45</v>
      </c>
      <c r="K43" s="18">
        <f t="shared" si="3"/>
        <v>3</v>
      </c>
      <c r="L43" s="6"/>
    </row>
    <row r="44" spans="1:12" ht="31.5" customHeight="1" x14ac:dyDescent="0.3">
      <c r="A44" s="17">
        <v>46347</v>
      </c>
      <c r="B44" s="7" t="str">
        <f t="shared" si="2"/>
        <v>Sat</v>
      </c>
      <c r="C44" s="6" t="s">
        <v>234</v>
      </c>
      <c r="D44" s="6" t="s">
        <v>48</v>
      </c>
      <c r="E44" s="6" t="s">
        <v>277</v>
      </c>
      <c r="F44" s="6" t="s">
        <v>278</v>
      </c>
      <c r="G44" s="7">
        <v>20</v>
      </c>
      <c r="H44" s="7">
        <v>40</v>
      </c>
      <c r="I44" s="7">
        <v>75</v>
      </c>
      <c r="J44" s="7">
        <v>45</v>
      </c>
      <c r="K44" s="18">
        <f t="shared" si="3"/>
        <v>3</v>
      </c>
      <c r="L44" s="6"/>
    </row>
    <row r="45" spans="1:12" ht="31.5" customHeight="1" x14ac:dyDescent="0.3">
      <c r="A45" s="19">
        <v>46348</v>
      </c>
      <c r="B45" s="20" t="str">
        <f t="shared" si="2"/>
        <v>Sun</v>
      </c>
      <c r="C45" s="21" t="s">
        <v>212</v>
      </c>
      <c r="D45" s="21" t="s">
        <v>213</v>
      </c>
      <c r="E45" s="21" t="s">
        <v>214</v>
      </c>
      <c r="F45" s="21" t="s">
        <v>215</v>
      </c>
      <c r="G45" s="20">
        <v>30</v>
      </c>
      <c r="H45" s="20">
        <v>0</v>
      </c>
      <c r="I45" s="20">
        <v>90</v>
      </c>
      <c r="J45" s="20">
        <v>60</v>
      </c>
      <c r="K45" s="22">
        <f t="shared" si="3"/>
        <v>3</v>
      </c>
      <c r="L45" s="21"/>
    </row>
    <row r="46" spans="1:12" ht="31.5" customHeight="1" x14ac:dyDescent="0.3">
      <c r="A46" s="17">
        <v>46349</v>
      </c>
      <c r="B46" s="7" t="str">
        <f t="shared" si="2"/>
        <v>Mon</v>
      </c>
      <c r="C46" s="6" t="s">
        <v>234</v>
      </c>
      <c r="D46" s="6" t="s">
        <v>48</v>
      </c>
      <c r="E46" s="6" t="s">
        <v>279</v>
      </c>
      <c r="F46" s="6" t="s">
        <v>280</v>
      </c>
      <c r="G46" s="7">
        <v>20</v>
      </c>
      <c r="H46" s="7">
        <v>40</v>
      </c>
      <c r="I46" s="7">
        <v>75</v>
      </c>
      <c r="J46" s="7">
        <v>45</v>
      </c>
      <c r="K46" s="18">
        <f t="shared" si="3"/>
        <v>3</v>
      </c>
      <c r="L46" s="6"/>
    </row>
    <row r="47" spans="1:12" ht="31.5" customHeight="1" x14ac:dyDescent="0.3">
      <c r="A47" s="17">
        <v>46350</v>
      </c>
      <c r="B47" s="7" t="str">
        <f t="shared" si="2"/>
        <v>Tue</v>
      </c>
      <c r="C47" s="6" t="s">
        <v>234</v>
      </c>
      <c r="D47" s="6" t="s">
        <v>48</v>
      </c>
      <c r="E47" s="6" t="s">
        <v>281</v>
      </c>
      <c r="F47" s="6" t="s">
        <v>282</v>
      </c>
      <c r="G47" s="7">
        <v>20</v>
      </c>
      <c r="H47" s="7">
        <v>40</v>
      </c>
      <c r="I47" s="7">
        <v>75</v>
      </c>
      <c r="J47" s="7">
        <v>45</v>
      </c>
      <c r="K47" s="18">
        <f t="shared" si="3"/>
        <v>3</v>
      </c>
      <c r="L47" s="6"/>
    </row>
    <row r="48" spans="1:12" ht="31.5" customHeight="1" x14ac:dyDescent="0.3">
      <c r="A48" s="17">
        <v>46351</v>
      </c>
      <c r="B48" s="7" t="str">
        <f t="shared" si="2"/>
        <v>Wed</v>
      </c>
      <c r="C48" s="6" t="s">
        <v>234</v>
      </c>
      <c r="D48" s="6" t="s">
        <v>48</v>
      </c>
      <c r="E48" s="6" t="s">
        <v>283</v>
      </c>
      <c r="F48" s="6" t="s">
        <v>284</v>
      </c>
      <c r="G48" s="7">
        <v>20</v>
      </c>
      <c r="H48" s="7">
        <v>40</v>
      </c>
      <c r="I48" s="7">
        <v>75</v>
      </c>
      <c r="J48" s="7">
        <v>45</v>
      </c>
      <c r="K48" s="18">
        <f t="shared" si="3"/>
        <v>3</v>
      </c>
      <c r="L48" s="6"/>
    </row>
    <row r="49" spans="1:12" ht="31.5" customHeight="1" x14ac:dyDescent="0.3">
      <c r="A49" s="17">
        <v>46352</v>
      </c>
      <c r="B49" s="7" t="str">
        <f t="shared" si="2"/>
        <v>Thu</v>
      </c>
      <c r="C49" s="6" t="s">
        <v>234</v>
      </c>
      <c r="D49" s="6" t="s">
        <v>48</v>
      </c>
      <c r="E49" s="6" t="s">
        <v>285</v>
      </c>
      <c r="F49" s="6" t="s">
        <v>286</v>
      </c>
      <c r="G49" s="7">
        <v>20</v>
      </c>
      <c r="H49" s="7">
        <v>35</v>
      </c>
      <c r="I49" s="7">
        <v>65</v>
      </c>
      <c r="J49" s="7">
        <v>30</v>
      </c>
      <c r="K49" s="18">
        <f t="shared" si="3"/>
        <v>2.5</v>
      </c>
      <c r="L49" s="6" t="s">
        <v>287</v>
      </c>
    </row>
    <row r="50" spans="1:12" ht="31.5" customHeight="1" x14ac:dyDescent="0.3">
      <c r="A50" s="17">
        <v>46353</v>
      </c>
      <c r="B50" s="7" t="str">
        <f t="shared" si="2"/>
        <v>Fri</v>
      </c>
      <c r="C50" s="6" t="s">
        <v>234</v>
      </c>
      <c r="D50" s="6" t="s">
        <v>48</v>
      </c>
      <c r="E50" s="6" t="s">
        <v>288</v>
      </c>
      <c r="F50" s="6" t="s">
        <v>289</v>
      </c>
      <c r="G50" s="7">
        <v>20</v>
      </c>
      <c r="H50" s="7">
        <v>35</v>
      </c>
      <c r="I50" s="7">
        <v>65</v>
      </c>
      <c r="J50" s="7">
        <v>30</v>
      </c>
      <c r="K50" s="18">
        <f t="shared" si="3"/>
        <v>2.5</v>
      </c>
      <c r="L50" s="6" t="s">
        <v>287</v>
      </c>
    </row>
    <row r="51" spans="1:12" ht="31.5" customHeight="1" x14ac:dyDescent="0.3">
      <c r="A51" s="17">
        <v>46354</v>
      </c>
      <c r="B51" s="7" t="str">
        <f t="shared" si="2"/>
        <v>Sat</v>
      </c>
      <c r="C51" s="6" t="s">
        <v>234</v>
      </c>
      <c r="D51" s="6" t="s">
        <v>48</v>
      </c>
      <c r="E51" s="6" t="s">
        <v>290</v>
      </c>
      <c r="F51" s="6" t="s">
        <v>291</v>
      </c>
      <c r="G51" s="7">
        <v>20</v>
      </c>
      <c r="H51" s="7">
        <v>35</v>
      </c>
      <c r="I51" s="7">
        <v>65</v>
      </c>
      <c r="J51" s="7">
        <v>30</v>
      </c>
      <c r="K51" s="18">
        <f t="shared" si="3"/>
        <v>2.5</v>
      </c>
      <c r="L51" s="6" t="s">
        <v>287</v>
      </c>
    </row>
    <row r="52" spans="1:12" ht="31.5" customHeight="1" x14ac:dyDescent="0.3">
      <c r="A52" s="19">
        <v>46355</v>
      </c>
      <c r="B52" s="20" t="str">
        <f t="shared" si="2"/>
        <v>Sun</v>
      </c>
      <c r="C52" s="21" t="s">
        <v>212</v>
      </c>
      <c r="D52" s="21" t="s">
        <v>213</v>
      </c>
      <c r="E52" s="21" t="s">
        <v>214</v>
      </c>
      <c r="F52" s="21" t="s">
        <v>215</v>
      </c>
      <c r="G52" s="20">
        <v>30</v>
      </c>
      <c r="H52" s="20">
        <v>0</v>
      </c>
      <c r="I52" s="20">
        <v>90</v>
      </c>
      <c r="J52" s="20">
        <v>60</v>
      </c>
      <c r="K52" s="22">
        <f t="shared" si="3"/>
        <v>3</v>
      </c>
      <c r="L52" s="21"/>
    </row>
    <row r="53" spans="1:12" ht="31.5" customHeight="1" x14ac:dyDescent="0.3">
      <c r="A53" s="17">
        <v>46356</v>
      </c>
      <c r="B53" s="7" t="str">
        <f t="shared" si="2"/>
        <v>Mon</v>
      </c>
      <c r="C53" s="6" t="s">
        <v>234</v>
      </c>
      <c r="D53" s="6" t="s">
        <v>48</v>
      </c>
      <c r="E53" s="6" t="s">
        <v>292</v>
      </c>
      <c r="F53" s="6" t="s">
        <v>293</v>
      </c>
      <c r="G53" s="7">
        <v>20</v>
      </c>
      <c r="H53" s="7">
        <v>35</v>
      </c>
      <c r="I53" s="7">
        <v>65</v>
      </c>
      <c r="J53" s="7">
        <v>30</v>
      </c>
      <c r="K53" s="18">
        <f t="shared" si="3"/>
        <v>2.5</v>
      </c>
      <c r="L53" s="6" t="s">
        <v>287</v>
      </c>
    </row>
    <row r="54" spans="1:12" ht="31.5" customHeight="1" x14ac:dyDescent="0.3">
      <c r="A54" s="17">
        <v>46357</v>
      </c>
      <c r="B54" s="7" t="str">
        <f t="shared" si="2"/>
        <v>Tue</v>
      </c>
      <c r="C54" s="6" t="s">
        <v>234</v>
      </c>
      <c r="D54" s="6" t="s">
        <v>48</v>
      </c>
      <c r="E54" s="6" t="s">
        <v>294</v>
      </c>
      <c r="F54" s="6" t="s">
        <v>295</v>
      </c>
      <c r="G54" s="7">
        <v>20</v>
      </c>
      <c r="H54" s="7">
        <v>35</v>
      </c>
      <c r="I54" s="7">
        <v>65</v>
      </c>
      <c r="J54" s="7">
        <v>30</v>
      </c>
      <c r="K54" s="18">
        <f t="shared" si="3"/>
        <v>2.5</v>
      </c>
      <c r="L54" s="6" t="s">
        <v>287</v>
      </c>
    </row>
    <row r="55" spans="1:12" ht="31.5" customHeight="1" x14ac:dyDescent="0.3">
      <c r="A55" s="17">
        <v>46358</v>
      </c>
      <c r="B55" s="7" t="str">
        <f t="shared" si="2"/>
        <v>Wed</v>
      </c>
      <c r="C55" s="6" t="s">
        <v>234</v>
      </c>
      <c r="D55" s="6" t="s">
        <v>48</v>
      </c>
      <c r="E55" s="6" t="s">
        <v>296</v>
      </c>
      <c r="F55" s="6" t="s">
        <v>297</v>
      </c>
      <c r="G55" s="7">
        <v>20</v>
      </c>
      <c r="H55" s="7">
        <v>35</v>
      </c>
      <c r="I55" s="7">
        <v>65</v>
      </c>
      <c r="J55" s="7">
        <v>30</v>
      </c>
      <c r="K55" s="18">
        <f t="shared" si="3"/>
        <v>2.5</v>
      </c>
      <c r="L55" s="6" t="s">
        <v>287</v>
      </c>
    </row>
    <row r="56" spans="1:12" ht="31.5" customHeight="1" x14ac:dyDescent="0.3">
      <c r="A56" s="17">
        <v>46359</v>
      </c>
      <c r="B56" s="7" t="str">
        <f t="shared" si="2"/>
        <v>Thu</v>
      </c>
      <c r="C56" s="6" t="s">
        <v>234</v>
      </c>
      <c r="D56" s="6" t="s">
        <v>55</v>
      </c>
      <c r="E56" s="6" t="s">
        <v>298</v>
      </c>
      <c r="F56" s="6" t="s">
        <v>299</v>
      </c>
      <c r="G56" s="7">
        <v>20</v>
      </c>
      <c r="H56" s="7">
        <v>35</v>
      </c>
      <c r="I56" s="7">
        <v>65</v>
      </c>
      <c r="J56" s="7">
        <v>30</v>
      </c>
      <c r="K56" s="18">
        <f t="shared" si="3"/>
        <v>2.5</v>
      </c>
      <c r="L56" s="6" t="s">
        <v>287</v>
      </c>
    </row>
    <row r="57" spans="1:12" ht="31.5" customHeight="1" x14ac:dyDescent="0.3">
      <c r="A57" s="17">
        <v>46360</v>
      </c>
      <c r="B57" s="7" t="str">
        <f t="shared" si="2"/>
        <v>Fri</v>
      </c>
      <c r="C57" s="6" t="s">
        <v>234</v>
      </c>
      <c r="D57" s="6" t="s">
        <v>55</v>
      </c>
      <c r="E57" s="6" t="s">
        <v>300</v>
      </c>
      <c r="F57" s="6" t="s">
        <v>301</v>
      </c>
      <c r="G57" s="7">
        <v>20</v>
      </c>
      <c r="H57" s="7">
        <v>35</v>
      </c>
      <c r="I57" s="7">
        <v>65</v>
      </c>
      <c r="J57" s="7">
        <v>30</v>
      </c>
      <c r="K57" s="18">
        <f t="shared" si="3"/>
        <v>2.5</v>
      </c>
      <c r="L57" s="6" t="s">
        <v>287</v>
      </c>
    </row>
    <row r="58" spans="1:12" ht="31.5" customHeight="1" x14ac:dyDescent="0.3">
      <c r="A58" s="17">
        <v>46361</v>
      </c>
      <c r="B58" s="7" t="str">
        <f t="shared" si="2"/>
        <v>Sat</v>
      </c>
      <c r="C58" s="6" t="s">
        <v>234</v>
      </c>
      <c r="D58" s="6" t="s">
        <v>55</v>
      </c>
      <c r="E58" s="6" t="s">
        <v>302</v>
      </c>
      <c r="F58" s="6" t="s">
        <v>303</v>
      </c>
      <c r="G58" s="7">
        <v>20</v>
      </c>
      <c r="H58" s="7">
        <v>35</v>
      </c>
      <c r="I58" s="7">
        <v>65</v>
      </c>
      <c r="J58" s="7">
        <v>30</v>
      </c>
      <c r="K58" s="18">
        <f t="shared" si="3"/>
        <v>2.5</v>
      </c>
      <c r="L58" s="6" t="s">
        <v>287</v>
      </c>
    </row>
    <row r="59" spans="1:12" ht="31.5" customHeight="1" x14ac:dyDescent="0.3">
      <c r="A59" s="19">
        <v>46362</v>
      </c>
      <c r="B59" s="20" t="str">
        <f t="shared" si="2"/>
        <v>Sun</v>
      </c>
      <c r="C59" s="21" t="s">
        <v>212</v>
      </c>
      <c r="D59" s="21" t="s">
        <v>213</v>
      </c>
      <c r="E59" s="21" t="s">
        <v>304</v>
      </c>
      <c r="F59" s="21" t="s">
        <v>215</v>
      </c>
      <c r="G59" s="20">
        <v>30</v>
      </c>
      <c r="H59" s="20">
        <v>0</v>
      </c>
      <c r="I59" s="20">
        <v>90</v>
      </c>
      <c r="J59" s="20">
        <v>60</v>
      </c>
      <c r="K59" s="22">
        <f t="shared" si="3"/>
        <v>3</v>
      </c>
      <c r="L59" s="21"/>
    </row>
    <row r="60" spans="1:12" ht="31.5" customHeight="1" x14ac:dyDescent="0.3">
      <c r="A60" s="17">
        <v>46363</v>
      </c>
      <c r="B60" s="7" t="str">
        <f t="shared" si="2"/>
        <v>Mon</v>
      </c>
      <c r="C60" s="6" t="s">
        <v>234</v>
      </c>
      <c r="D60" s="6" t="s">
        <v>55</v>
      </c>
      <c r="E60" s="6" t="s">
        <v>305</v>
      </c>
      <c r="F60" s="6" t="s">
        <v>306</v>
      </c>
      <c r="G60" s="7">
        <v>20</v>
      </c>
      <c r="H60" s="7">
        <v>40</v>
      </c>
      <c r="I60" s="7">
        <v>75</v>
      </c>
      <c r="J60" s="7">
        <v>45</v>
      </c>
      <c r="K60" s="18">
        <f t="shared" si="3"/>
        <v>3</v>
      </c>
      <c r="L60" s="6"/>
    </row>
    <row r="61" spans="1:12" ht="31.5" customHeight="1" x14ac:dyDescent="0.3">
      <c r="A61" s="17">
        <v>46364</v>
      </c>
      <c r="B61" s="7" t="str">
        <f t="shared" si="2"/>
        <v>Tue</v>
      </c>
      <c r="C61" s="6" t="s">
        <v>234</v>
      </c>
      <c r="D61" s="6" t="s">
        <v>55</v>
      </c>
      <c r="E61" s="6" t="s">
        <v>307</v>
      </c>
      <c r="F61" s="6" t="s">
        <v>308</v>
      </c>
      <c r="G61" s="7">
        <v>20</v>
      </c>
      <c r="H61" s="7">
        <v>40</v>
      </c>
      <c r="I61" s="7">
        <v>75</v>
      </c>
      <c r="J61" s="7">
        <v>45</v>
      </c>
      <c r="K61" s="18">
        <f t="shared" si="3"/>
        <v>3</v>
      </c>
      <c r="L61" s="6"/>
    </row>
    <row r="62" spans="1:12" ht="31.5" customHeight="1" x14ac:dyDescent="0.3">
      <c r="A62" s="17">
        <v>46365</v>
      </c>
      <c r="B62" s="7" t="str">
        <f t="shared" si="2"/>
        <v>Wed</v>
      </c>
      <c r="C62" s="6" t="s">
        <v>234</v>
      </c>
      <c r="D62" s="6" t="s">
        <v>55</v>
      </c>
      <c r="E62" s="6" t="s">
        <v>309</v>
      </c>
      <c r="F62" s="6" t="s">
        <v>310</v>
      </c>
      <c r="G62" s="7">
        <v>20</v>
      </c>
      <c r="H62" s="7">
        <v>40</v>
      </c>
      <c r="I62" s="7">
        <v>75</v>
      </c>
      <c r="J62" s="7">
        <v>45</v>
      </c>
      <c r="K62" s="18">
        <f t="shared" si="3"/>
        <v>3</v>
      </c>
      <c r="L62" s="6"/>
    </row>
    <row r="63" spans="1:12" ht="31.5" customHeight="1" x14ac:dyDescent="0.3">
      <c r="A63" s="17">
        <v>46366</v>
      </c>
      <c r="B63" s="7" t="str">
        <f t="shared" si="2"/>
        <v>Thu</v>
      </c>
      <c r="C63" s="6" t="s">
        <v>234</v>
      </c>
      <c r="D63" s="6" t="s">
        <v>55</v>
      </c>
      <c r="E63" s="6" t="s">
        <v>311</v>
      </c>
      <c r="F63" s="6" t="s">
        <v>312</v>
      </c>
      <c r="G63" s="7">
        <v>20</v>
      </c>
      <c r="H63" s="7">
        <v>40</v>
      </c>
      <c r="I63" s="7">
        <v>75</v>
      </c>
      <c r="J63" s="7">
        <v>45</v>
      </c>
      <c r="K63" s="18">
        <f t="shared" si="3"/>
        <v>3</v>
      </c>
      <c r="L63" s="6"/>
    </row>
    <row r="64" spans="1:12" ht="31.5" customHeight="1" x14ac:dyDescent="0.3">
      <c r="A64" s="17">
        <v>46367</v>
      </c>
      <c r="B64" s="7" t="str">
        <f t="shared" si="2"/>
        <v>Fri</v>
      </c>
      <c r="C64" s="6" t="s">
        <v>313</v>
      </c>
      <c r="D64" s="6" t="s">
        <v>314</v>
      </c>
      <c r="E64" s="6" t="s">
        <v>315</v>
      </c>
      <c r="F64" s="6"/>
      <c r="G64" s="7">
        <v>30</v>
      </c>
      <c r="H64" s="7">
        <v>0</v>
      </c>
      <c r="I64" s="7">
        <v>100</v>
      </c>
      <c r="J64" s="7">
        <v>50</v>
      </c>
      <c r="K64" s="18">
        <f t="shared" si="3"/>
        <v>3</v>
      </c>
      <c r="L64" s="6"/>
    </row>
    <row r="65" spans="1:12" ht="31.5" customHeight="1" x14ac:dyDescent="0.3">
      <c r="A65" s="17">
        <v>46368</v>
      </c>
      <c r="B65" s="7" t="str">
        <f t="shared" si="2"/>
        <v>Sat</v>
      </c>
      <c r="C65" s="6" t="s">
        <v>313</v>
      </c>
      <c r="D65" s="6" t="s">
        <v>314</v>
      </c>
      <c r="E65" s="6" t="s">
        <v>316</v>
      </c>
      <c r="F65" s="6"/>
      <c r="G65" s="7">
        <v>30</v>
      </c>
      <c r="H65" s="7">
        <v>0</v>
      </c>
      <c r="I65" s="7">
        <v>100</v>
      </c>
      <c r="J65" s="7">
        <v>50</v>
      </c>
      <c r="K65" s="18">
        <f t="shared" si="3"/>
        <v>3</v>
      </c>
      <c r="L65" s="6"/>
    </row>
    <row r="66" spans="1:12" ht="31.5" customHeight="1" x14ac:dyDescent="0.3">
      <c r="A66" s="19">
        <v>46369</v>
      </c>
      <c r="B66" s="20" t="str">
        <f t="shared" si="2"/>
        <v>Sun</v>
      </c>
      <c r="C66" s="21" t="s">
        <v>317</v>
      </c>
      <c r="D66" s="21" t="s">
        <v>314</v>
      </c>
      <c r="E66" s="21" t="s">
        <v>318</v>
      </c>
      <c r="F66" s="21"/>
      <c r="G66" s="20">
        <v>0</v>
      </c>
      <c r="H66" s="20">
        <v>0</v>
      </c>
      <c r="I66" s="20">
        <v>180</v>
      </c>
      <c r="J66" s="20">
        <v>0</v>
      </c>
      <c r="K66" s="22">
        <f t="shared" si="3"/>
        <v>3</v>
      </c>
      <c r="L66" s="21"/>
    </row>
    <row r="67" spans="1:12" ht="31.5" customHeight="1" x14ac:dyDescent="0.3">
      <c r="A67" s="17">
        <v>46370</v>
      </c>
      <c r="B67" s="7" t="str">
        <f t="shared" si="2"/>
        <v>Mon</v>
      </c>
      <c r="C67" s="6" t="s">
        <v>313</v>
      </c>
      <c r="D67" s="6" t="s">
        <v>319</v>
      </c>
      <c r="E67" s="6" t="s">
        <v>320</v>
      </c>
      <c r="F67" s="6"/>
      <c r="G67" s="7">
        <v>30</v>
      </c>
      <c r="H67" s="7">
        <v>0</v>
      </c>
      <c r="I67" s="7">
        <v>100</v>
      </c>
      <c r="J67" s="7">
        <v>50</v>
      </c>
      <c r="K67" s="18">
        <f t="shared" si="3"/>
        <v>3</v>
      </c>
      <c r="L67" s="6"/>
    </row>
    <row r="68" spans="1:12" ht="31.5" customHeight="1" x14ac:dyDescent="0.3">
      <c r="A68" s="23">
        <v>46371</v>
      </c>
      <c r="B68" s="24" t="str">
        <f t="shared" si="2"/>
        <v>Tue</v>
      </c>
      <c r="C68" s="25" t="s">
        <v>321</v>
      </c>
      <c r="D68" s="25" t="s">
        <v>314</v>
      </c>
      <c r="E68" s="25" t="s">
        <v>322</v>
      </c>
      <c r="F68" s="25"/>
      <c r="G68" s="24">
        <v>0</v>
      </c>
      <c r="H68" s="24">
        <v>0</v>
      </c>
      <c r="I68" s="24">
        <v>60</v>
      </c>
      <c r="J68" s="24">
        <v>0</v>
      </c>
      <c r="K68" s="26">
        <f t="shared" si="3"/>
        <v>1</v>
      </c>
      <c r="L68" s="25" t="s">
        <v>323</v>
      </c>
    </row>
    <row r="69" spans="1:12" ht="31.5" customHeight="1" x14ac:dyDescent="0.3">
      <c r="A69" s="17">
        <v>46372</v>
      </c>
      <c r="B69" s="7" t="str">
        <f t="shared" ref="B69:B100" si="4">TEXT(A69,"ddd")</f>
        <v>Wed</v>
      </c>
      <c r="C69" s="6" t="s">
        <v>313</v>
      </c>
      <c r="D69" s="6" t="s">
        <v>324</v>
      </c>
      <c r="E69" s="6" t="s">
        <v>325</v>
      </c>
      <c r="F69" s="6"/>
      <c r="G69" s="7">
        <v>30</v>
      </c>
      <c r="H69" s="7">
        <v>0</v>
      </c>
      <c r="I69" s="7">
        <v>100</v>
      </c>
      <c r="J69" s="7">
        <v>50</v>
      </c>
      <c r="K69" s="18">
        <f t="shared" ref="K69:K100" si="5">(G69+H69+I69+J69)/60</f>
        <v>3</v>
      </c>
      <c r="L69" s="6"/>
    </row>
    <row r="70" spans="1:12" ht="31.5" customHeight="1" x14ac:dyDescent="0.3">
      <c r="A70" s="23">
        <v>46373</v>
      </c>
      <c r="B70" s="24" t="str">
        <f t="shared" si="4"/>
        <v>Thu</v>
      </c>
      <c r="C70" s="25" t="s">
        <v>326</v>
      </c>
      <c r="D70" s="25" t="s">
        <v>324</v>
      </c>
      <c r="E70" s="25" t="s">
        <v>327</v>
      </c>
      <c r="F70" s="25"/>
      <c r="G70" s="24">
        <v>0</v>
      </c>
      <c r="H70" s="24">
        <v>0</v>
      </c>
      <c r="I70" s="24">
        <v>60</v>
      </c>
      <c r="J70" s="24">
        <v>0</v>
      </c>
      <c r="K70" s="26">
        <f t="shared" si="5"/>
        <v>1</v>
      </c>
      <c r="L70" s="25" t="s">
        <v>323</v>
      </c>
    </row>
    <row r="71" spans="1:12" ht="31.5" customHeight="1" x14ac:dyDescent="0.3">
      <c r="A71" s="17">
        <v>46374</v>
      </c>
      <c r="B71" s="7" t="str">
        <f t="shared" si="4"/>
        <v>Fri</v>
      </c>
      <c r="C71" s="6" t="s">
        <v>313</v>
      </c>
      <c r="D71" s="6" t="s">
        <v>328</v>
      </c>
      <c r="E71" s="6" t="s">
        <v>329</v>
      </c>
      <c r="F71" s="6"/>
      <c r="G71" s="7">
        <v>30</v>
      </c>
      <c r="H71" s="7">
        <v>0</v>
      </c>
      <c r="I71" s="7">
        <v>100</v>
      </c>
      <c r="J71" s="7">
        <v>50</v>
      </c>
      <c r="K71" s="18">
        <f t="shared" si="5"/>
        <v>3</v>
      </c>
      <c r="L71" s="6"/>
    </row>
    <row r="72" spans="1:12" ht="31.5" customHeight="1" x14ac:dyDescent="0.3">
      <c r="A72" s="23">
        <v>46375</v>
      </c>
      <c r="B72" s="24" t="str">
        <f t="shared" si="4"/>
        <v>Sat</v>
      </c>
      <c r="C72" s="25" t="s">
        <v>330</v>
      </c>
      <c r="D72" s="25" t="s">
        <v>328</v>
      </c>
      <c r="E72" s="25" t="s">
        <v>331</v>
      </c>
      <c r="F72" s="25"/>
      <c r="G72" s="24">
        <v>0</v>
      </c>
      <c r="H72" s="24">
        <v>0</v>
      </c>
      <c r="I72" s="24">
        <v>60</v>
      </c>
      <c r="J72" s="24">
        <v>0</v>
      </c>
      <c r="K72" s="26">
        <f t="shared" si="5"/>
        <v>1</v>
      </c>
      <c r="L72" s="25" t="s">
        <v>323</v>
      </c>
    </row>
    <row r="73" spans="1:12" ht="31.5" customHeight="1" x14ac:dyDescent="0.3">
      <c r="A73" s="19">
        <v>46376</v>
      </c>
      <c r="B73" s="20" t="str">
        <f t="shared" si="4"/>
        <v>Sun</v>
      </c>
      <c r="C73" s="21" t="s">
        <v>317</v>
      </c>
      <c r="D73" s="21" t="s">
        <v>332</v>
      </c>
      <c r="E73" s="21" t="s">
        <v>333</v>
      </c>
      <c r="F73" s="21"/>
      <c r="G73" s="20">
        <v>0</v>
      </c>
      <c r="H73" s="20">
        <v>0</v>
      </c>
      <c r="I73" s="20">
        <v>180</v>
      </c>
      <c r="J73" s="20">
        <v>0</v>
      </c>
      <c r="K73" s="22">
        <f t="shared" si="5"/>
        <v>3</v>
      </c>
      <c r="L73" s="21"/>
    </row>
    <row r="74" spans="1:12" ht="31.5" customHeight="1" x14ac:dyDescent="0.3">
      <c r="A74" s="17">
        <v>46377</v>
      </c>
      <c r="B74" s="7" t="str">
        <f t="shared" si="4"/>
        <v>Mon</v>
      </c>
      <c r="C74" s="6" t="s">
        <v>313</v>
      </c>
      <c r="D74" s="6" t="s">
        <v>332</v>
      </c>
      <c r="E74" s="6" t="s">
        <v>334</v>
      </c>
      <c r="F74" s="6"/>
      <c r="G74" s="7">
        <v>0</v>
      </c>
      <c r="H74" s="7">
        <v>0</v>
      </c>
      <c r="I74" s="7">
        <v>130</v>
      </c>
      <c r="J74" s="7">
        <v>50</v>
      </c>
      <c r="K74" s="18">
        <f t="shared" si="5"/>
        <v>3</v>
      </c>
      <c r="L74" s="6" t="s">
        <v>335</v>
      </c>
    </row>
    <row r="75" spans="1:12" ht="31.5" customHeight="1" x14ac:dyDescent="0.3">
      <c r="A75" s="23">
        <v>46378</v>
      </c>
      <c r="B75" s="24" t="str">
        <f t="shared" si="4"/>
        <v>Tue</v>
      </c>
      <c r="C75" s="25" t="s">
        <v>336</v>
      </c>
      <c r="D75" s="25" t="s">
        <v>332</v>
      </c>
      <c r="E75" s="25" t="s">
        <v>337</v>
      </c>
      <c r="F75" s="25"/>
      <c r="G75" s="24">
        <v>0</v>
      </c>
      <c r="H75" s="24">
        <v>0</v>
      </c>
      <c r="I75" s="24">
        <v>60</v>
      </c>
      <c r="J75" s="24">
        <v>0</v>
      </c>
      <c r="K75" s="26">
        <f t="shared" si="5"/>
        <v>1</v>
      </c>
      <c r="L75" s="25" t="s">
        <v>323</v>
      </c>
    </row>
    <row r="76" spans="1:12" ht="31.5" customHeight="1" x14ac:dyDescent="0.3">
      <c r="A76" s="17">
        <v>46379</v>
      </c>
      <c r="B76" s="7" t="str">
        <f t="shared" si="4"/>
        <v>Wed</v>
      </c>
      <c r="C76" s="6" t="s">
        <v>313</v>
      </c>
      <c r="D76" s="6" t="s">
        <v>338</v>
      </c>
      <c r="E76" s="6" t="s">
        <v>339</v>
      </c>
      <c r="F76" s="6"/>
      <c r="G76" s="7">
        <v>30</v>
      </c>
      <c r="H76" s="7">
        <v>0</v>
      </c>
      <c r="I76" s="7">
        <v>120</v>
      </c>
      <c r="J76" s="7">
        <v>30</v>
      </c>
      <c r="K76" s="18">
        <f t="shared" si="5"/>
        <v>3</v>
      </c>
      <c r="L76" s="6"/>
    </row>
    <row r="77" spans="1:12" ht="31.5" customHeight="1" x14ac:dyDescent="0.3">
      <c r="A77" s="23">
        <v>46380</v>
      </c>
      <c r="B77" s="24" t="str">
        <f t="shared" si="4"/>
        <v>Thu</v>
      </c>
      <c r="C77" s="25" t="s">
        <v>340</v>
      </c>
      <c r="D77" s="25" t="s">
        <v>338</v>
      </c>
      <c r="E77" s="25" t="s">
        <v>341</v>
      </c>
      <c r="F77" s="25"/>
      <c r="G77" s="24">
        <v>0</v>
      </c>
      <c r="H77" s="24">
        <v>0</v>
      </c>
      <c r="I77" s="24">
        <v>60</v>
      </c>
      <c r="J77" s="24">
        <v>0</v>
      </c>
      <c r="K77" s="26">
        <f t="shared" si="5"/>
        <v>1</v>
      </c>
      <c r="L77" s="25" t="s">
        <v>323</v>
      </c>
    </row>
    <row r="78" spans="1:12" ht="31.5" customHeight="1" x14ac:dyDescent="0.3">
      <c r="A78" s="17">
        <v>46381</v>
      </c>
      <c r="B78" s="7" t="str">
        <f t="shared" si="4"/>
        <v>Fri</v>
      </c>
      <c r="C78" s="6" t="s">
        <v>313</v>
      </c>
      <c r="D78" s="6" t="s">
        <v>342</v>
      </c>
      <c r="E78" s="6" t="s">
        <v>343</v>
      </c>
      <c r="F78" s="6"/>
      <c r="G78" s="7">
        <v>30</v>
      </c>
      <c r="H78" s="7">
        <v>0</v>
      </c>
      <c r="I78" s="7">
        <v>120</v>
      </c>
      <c r="J78" s="7">
        <v>30</v>
      </c>
      <c r="K78" s="18">
        <f t="shared" si="5"/>
        <v>3</v>
      </c>
      <c r="L78" s="6"/>
    </row>
    <row r="79" spans="1:12" ht="31.5" customHeight="1" x14ac:dyDescent="0.3">
      <c r="A79" s="17">
        <v>46382</v>
      </c>
      <c r="B79" s="7" t="str">
        <f t="shared" si="4"/>
        <v>Sat</v>
      </c>
      <c r="C79" s="6" t="s">
        <v>313</v>
      </c>
      <c r="D79" s="6" t="s">
        <v>342</v>
      </c>
      <c r="E79" s="6" t="s">
        <v>344</v>
      </c>
      <c r="F79" s="6"/>
      <c r="G79" s="7">
        <v>30</v>
      </c>
      <c r="H79" s="7">
        <v>0</v>
      </c>
      <c r="I79" s="7">
        <v>120</v>
      </c>
      <c r="J79" s="7">
        <v>30</v>
      </c>
      <c r="K79" s="18">
        <f t="shared" si="5"/>
        <v>3</v>
      </c>
      <c r="L79" s="6"/>
    </row>
    <row r="80" spans="1:12" ht="31.5" customHeight="1" x14ac:dyDescent="0.3">
      <c r="A80" s="19">
        <v>46383</v>
      </c>
      <c r="B80" s="20" t="str">
        <f t="shared" si="4"/>
        <v>Sun</v>
      </c>
      <c r="C80" s="21" t="s">
        <v>317</v>
      </c>
      <c r="D80" s="21" t="s">
        <v>342</v>
      </c>
      <c r="E80" s="21" t="s">
        <v>345</v>
      </c>
      <c r="F80" s="21"/>
      <c r="G80" s="20">
        <v>0</v>
      </c>
      <c r="H80" s="20">
        <v>0</v>
      </c>
      <c r="I80" s="20">
        <v>180</v>
      </c>
      <c r="J80" s="20">
        <v>0</v>
      </c>
      <c r="K80" s="22">
        <f t="shared" si="5"/>
        <v>3</v>
      </c>
      <c r="L80" s="21"/>
    </row>
    <row r="81" spans="1:12" ht="31.5" customHeight="1" x14ac:dyDescent="0.3">
      <c r="A81" s="23">
        <v>46384</v>
      </c>
      <c r="B81" s="24" t="str">
        <f t="shared" si="4"/>
        <v>Mon</v>
      </c>
      <c r="C81" s="25" t="s">
        <v>346</v>
      </c>
      <c r="D81" s="25" t="s">
        <v>342</v>
      </c>
      <c r="E81" s="25" t="s">
        <v>347</v>
      </c>
      <c r="F81" s="25"/>
      <c r="G81" s="24">
        <v>0</v>
      </c>
      <c r="H81" s="24">
        <v>0</v>
      </c>
      <c r="I81" s="24">
        <v>60</v>
      </c>
      <c r="J81" s="24">
        <v>0</v>
      </c>
      <c r="K81" s="26">
        <f t="shared" si="5"/>
        <v>1</v>
      </c>
      <c r="L81" s="25" t="s">
        <v>323</v>
      </c>
    </row>
    <row r="82" spans="1:12" ht="31.5" customHeight="1" x14ac:dyDescent="0.3">
      <c r="A82" s="17">
        <v>46385</v>
      </c>
      <c r="B82" s="7" t="str">
        <f t="shared" si="4"/>
        <v>Tue</v>
      </c>
      <c r="C82" s="6" t="s">
        <v>348</v>
      </c>
      <c r="D82" s="6" t="s">
        <v>349</v>
      </c>
      <c r="E82" s="6" t="s">
        <v>350</v>
      </c>
      <c r="F82" s="6" t="s">
        <v>351</v>
      </c>
      <c r="G82" s="7">
        <v>20</v>
      </c>
      <c r="H82" s="7">
        <v>40</v>
      </c>
      <c r="I82" s="7">
        <v>70</v>
      </c>
      <c r="J82" s="7">
        <v>50</v>
      </c>
      <c r="K82" s="18">
        <f t="shared" si="5"/>
        <v>3</v>
      </c>
      <c r="L82" s="6" t="s">
        <v>352</v>
      </c>
    </row>
    <row r="83" spans="1:12" ht="31.5" customHeight="1" x14ac:dyDescent="0.3">
      <c r="A83" s="17">
        <v>46386</v>
      </c>
      <c r="B83" s="7" t="str">
        <f t="shared" si="4"/>
        <v>Wed</v>
      </c>
      <c r="C83" s="6" t="s">
        <v>348</v>
      </c>
      <c r="D83" s="6" t="s">
        <v>353</v>
      </c>
      <c r="E83" s="6" t="s">
        <v>354</v>
      </c>
      <c r="F83" s="6" t="s">
        <v>355</v>
      </c>
      <c r="G83" s="7">
        <v>20</v>
      </c>
      <c r="H83" s="7">
        <v>40</v>
      </c>
      <c r="I83" s="7">
        <v>70</v>
      </c>
      <c r="J83" s="7">
        <v>50</v>
      </c>
      <c r="K83" s="18">
        <f t="shared" si="5"/>
        <v>3</v>
      </c>
      <c r="L83" s="6"/>
    </row>
    <row r="84" spans="1:12" ht="31.5" customHeight="1" x14ac:dyDescent="0.3">
      <c r="A84" s="17">
        <v>46387</v>
      </c>
      <c r="B84" s="7" t="str">
        <f t="shared" si="4"/>
        <v>Thu</v>
      </c>
      <c r="C84" s="6" t="s">
        <v>348</v>
      </c>
      <c r="D84" s="6" t="s">
        <v>356</v>
      </c>
      <c r="E84" s="6" t="s">
        <v>357</v>
      </c>
      <c r="F84" s="6"/>
      <c r="G84" s="7">
        <v>0</v>
      </c>
      <c r="H84" s="7">
        <v>0</v>
      </c>
      <c r="I84" s="7">
        <v>160</v>
      </c>
      <c r="J84" s="7">
        <v>20</v>
      </c>
      <c r="K84" s="18">
        <f t="shared" si="5"/>
        <v>3</v>
      </c>
      <c r="L84" s="6"/>
    </row>
    <row r="85" spans="1:12" x14ac:dyDescent="0.3">
      <c r="E85" s="1" t="s">
        <v>358</v>
      </c>
      <c r="K85" s="27">
        <f>SUM(K5:K84)</f>
        <v>213.5</v>
      </c>
    </row>
    <row r="86" spans="1:12" x14ac:dyDescent="0.3">
      <c r="E86" s="1" t="s">
        <v>359</v>
      </c>
      <c r="K86" s="27">
        <f>AVERAGE(K5:K84)</f>
        <v>2.6687500000000002</v>
      </c>
    </row>
    <row r="87" spans="1:12" x14ac:dyDescent="0.3">
      <c r="E87" s="28" t="s">
        <v>360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zoomScaleNormal="10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A12" sqref="A1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0" customWidth="1"/>
    <col min="5" max="5" width="28" customWidth="1"/>
    <col min="6" max="6" width="38" customWidth="1"/>
    <col min="7" max="7" width="16" customWidth="1"/>
    <col min="8" max="8" width="28" customWidth="1"/>
    <col min="9" max="9" width="40" customWidth="1"/>
    <col min="10" max="10" width="38" customWidth="1"/>
    <col min="11" max="11" width="16" customWidth="1"/>
    <col min="12" max="12" width="38" customWidth="1"/>
    <col min="13" max="13" width="20" customWidth="1"/>
    <col min="14" max="14" width="32" customWidth="1"/>
    <col min="15" max="15" width="9" customWidth="1"/>
    <col min="16" max="16" width="13" customWidth="1"/>
    <col min="17" max="17" width="28" customWidth="1"/>
  </cols>
  <sheetData>
    <row r="1" spans="1:17" ht="17.399999999999999" customHeight="1" x14ac:dyDescent="0.3">
      <c r="A1" s="34" t="s">
        <v>361</v>
      </c>
      <c r="B1" s="33"/>
      <c r="C1" s="33"/>
      <c r="D1" s="33"/>
      <c r="E1" s="33"/>
      <c r="F1" s="33"/>
    </row>
    <row r="2" spans="1:17" x14ac:dyDescent="0.3">
      <c r="A2" s="32" t="s">
        <v>362</v>
      </c>
      <c r="B2" s="33"/>
      <c r="C2" s="33"/>
      <c r="D2" s="33"/>
      <c r="E2" s="33"/>
      <c r="F2" s="33"/>
    </row>
    <row r="4" spans="1:17" x14ac:dyDescent="0.3">
      <c r="A4" s="1" t="s">
        <v>363</v>
      </c>
    </row>
    <row r="5" spans="1:17" x14ac:dyDescent="0.3">
      <c r="A5" s="37" t="s">
        <v>364</v>
      </c>
      <c r="B5" s="33"/>
      <c r="C5" s="33"/>
      <c r="D5" s="38" t="s">
        <v>365</v>
      </c>
      <c r="E5" s="33"/>
      <c r="F5" s="33"/>
      <c r="G5" s="33"/>
      <c r="H5" s="33"/>
      <c r="I5" s="33"/>
    </row>
    <row r="6" spans="1:17" x14ac:dyDescent="0.3">
      <c r="A6" s="37" t="s">
        <v>366</v>
      </c>
      <c r="B6" s="33"/>
      <c r="C6" s="33"/>
      <c r="D6" s="38" t="s">
        <v>367</v>
      </c>
      <c r="E6" s="33"/>
      <c r="F6" s="33"/>
      <c r="G6" s="33"/>
      <c r="H6" s="33"/>
      <c r="I6" s="33"/>
    </row>
    <row r="7" spans="1:17" x14ac:dyDescent="0.3">
      <c r="A7" s="37" t="s">
        <v>368</v>
      </c>
      <c r="B7" s="33"/>
      <c r="C7" s="33"/>
      <c r="D7" s="38" t="s">
        <v>369</v>
      </c>
      <c r="E7" s="33"/>
      <c r="F7" s="33"/>
      <c r="G7" s="33"/>
      <c r="H7" s="33"/>
      <c r="I7" s="33"/>
    </row>
    <row r="8" spans="1:17" x14ac:dyDescent="0.3">
      <c r="A8" s="37" t="s">
        <v>370</v>
      </c>
      <c r="B8" s="33"/>
      <c r="C8" s="33"/>
      <c r="D8" s="39" t="s">
        <v>371</v>
      </c>
      <c r="E8" s="33"/>
      <c r="F8" s="33"/>
      <c r="G8" s="33"/>
      <c r="H8" s="33"/>
      <c r="I8" s="33"/>
    </row>
    <row r="9" spans="1:17" ht="22.8" customHeight="1" x14ac:dyDescent="0.3">
      <c r="A9" s="37" t="s">
        <v>372</v>
      </c>
      <c r="B9" s="33"/>
      <c r="C9" s="33"/>
      <c r="D9" s="29" t="s">
        <v>373</v>
      </c>
      <c r="E9" s="29" t="s">
        <v>374</v>
      </c>
      <c r="F9" s="29" t="s">
        <v>375</v>
      </c>
      <c r="G9" s="29" t="s">
        <v>376</v>
      </c>
    </row>
    <row r="11" spans="1:17" ht="54" customHeight="1" x14ac:dyDescent="0.3">
      <c r="A11" s="5" t="s">
        <v>377</v>
      </c>
      <c r="B11" s="5" t="s">
        <v>190</v>
      </c>
      <c r="C11" s="5" t="s">
        <v>191</v>
      </c>
      <c r="D11" s="5" t="s">
        <v>378</v>
      </c>
      <c r="E11" s="5" t="s">
        <v>379</v>
      </c>
      <c r="F11" s="5" t="s">
        <v>380</v>
      </c>
      <c r="G11" s="5" t="s">
        <v>381</v>
      </c>
      <c r="H11" s="5" t="s">
        <v>382</v>
      </c>
      <c r="I11" s="5" t="s">
        <v>383</v>
      </c>
      <c r="J11" s="5" t="s">
        <v>384</v>
      </c>
      <c r="K11" s="5" t="s">
        <v>385</v>
      </c>
      <c r="L11" s="5" t="s">
        <v>386</v>
      </c>
      <c r="M11" s="5" t="s">
        <v>370</v>
      </c>
      <c r="N11" s="5" t="s">
        <v>387</v>
      </c>
      <c r="O11" s="5" t="s">
        <v>388</v>
      </c>
      <c r="P11" s="5" t="s">
        <v>389</v>
      </c>
      <c r="Q11" s="5" t="s">
        <v>390</v>
      </c>
    </row>
    <row r="12" spans="1:17" ht="117.75" customHeight="1" x14ac:dyDescent="0.3">
      <c r="A12" s="7">
        <v>1</v>
      </c>
      <c r="B12" s="17">
        <v>46308</v>
      </c>
      <c r="C12" s="7" t="str">
        <f>TEXT(B12,"ddd")</f>
        <v>Tue</v>
      </c>
      <c r="D12" s="6" t="s">
        <v>391</v>
      </c>
      <c r="E12" s="6" t="s">
        <v>392</v>
      </c>
      <c r="F12" s="30" t="s">
        <v>393</v>
      </c>
      <c r="G12" s="30" t="s">
        <v>394</v>
      </c>
      <c r="H12" s="6" t="s">
        <v>395</v>
      </c>
      <c r="I12" s="6" t="s">
        <v>396</v>
      </c>
      <c r="J12" s="30" t="s">
        <v>397</v>
      </c>
      <c r="K12" s="30" t="s">
        <v>394</v>
      </c>
      <c r="L12" s="30" t="s">
        <v>398</v>
      </c>
      <c r="M12" s="6" t="s">
        <v>399</v>
      </c>
      <c r="N12" s="6" t="s">
        <v>400</v>
      </c>
      <c r="O12" s="18">
        <v>2</v>
      </c>
      <c r="P12" s="31" t="s">
        <v>401</v>
      </c>
      <c r="Q12" s="6"/>
    </row>
    <row r="13" spans="1:17" ht="117.75" customHeight="1" x14ac:dyDescent="0.3">
      <c r="A13" s="7">
        <v>2</v>
      </c>
      <c r="B13" s="17">
        <v>46309</v>
      </c>
      <c r="C13" s="7" t="str">
        <f>TEXT(B13,"ddd")</f>
        <v>Wed</v>
      </c>
      <c r="D13" s="6" t="s">
        <v>402</v>
      </c>
      <c r="E13" s="6" t="s">
        <v>403</v>
      </c>
      <c r="F13" s="30" t="s">
        <v>393</v>
      </c>
      <c r="G13" s="30" t="s">
        <v>394</v>
      </c>
      <c r="H13" s="6" t="s">
        <v>404</v>
      </c>
      <c r="I13" s="6" t="s">
        <v>405</v>
      </c>
      <c r="J13" s="30" t="s">
        <v>397</v>
      </c>
      <c r="K13" s="30" t="s">
        <v>394</v>
      </c>
      <c r="L13" s="30" t="s">
        <v>398</v>
      </c>
      <c r="M13" s="6" t="s">
        <v>406</v>
      </c>
      <c r="N13" s="6" t="s">
        <v>407</v>
      </c>
      <c r="O13" s="18">
        <v>2</v>
      </c>
      <c r="P13" s="31" t="s">
        <v>401</v>
      </c>
      <c r="Q13" s="6"/>
    </row>
    <row r="14" spans="1:17" ht="117.75" customHeight="1" x14ac:dyDescent="0.3">
      <c r="A14" s="7">
        <v>3</v>
      </c>
      <c r="B14" s="17">
        <v>46310</v>
      </c>
      <c r="C14" s="7" t="str">
        <f>TEXT(B14,"ddd")</f>
        <v>Thu</v>
      </c>
      <c r="D14" s="6" t="s">
        <v>408</v>
      </c>
      <c r="E14" s="6" t="s">
        <v>409</v>
      </c>
      <c r="F14" s="30" t="s">
        <v>393</v>
      </c>
      <c r="G14" s="30" t="s">
        <v>394</v>
      </c>
      <c r="H14" s="6" t="s">
        <v>410</v>
      </c>
      <c r="I14" s="6" t="s">
        <v>411</v>
      </c>
      <c r="J14" s="30" t="s">
        <v>397</v>
      </c>
      <c r="K14" s="30" t="s">
        <v>394</v>
      </c>
      <c r="L14" s="30" t="s">
        <v>398</v>
      </c>
      <c r="M14" s="6" t="s">
        <v>412</v>
      </c>
      <c r="N14" s="6" t="s">
        <v>413</v>
      </c>
      <c r="O14" s="18">
        <v>2</v>
      </c>
      <c r="P14" s="31" t="s">
        <v>401</v>
      </c>
      <c r="Q14" s="6"/>
    </row>
    <row r="15" spans="1:17" ht="117.75" customHeight="1" x14ac:dyDescent="0.3">
      <c r="A15" s="7">
        <v>4</v>
      </c>
      <c r="B15" s="17">
        <v>46311</v>
      </c>
      <c r="C15" s="7" t="str">
        <f>TEXT(B15,"ddd")</f>
        <v>Fri</v>
      </c>
      <c r="D15" s="6" t="s">
        <v>414</v>
      </c>
      <c r="E15" s="6" t="s">
        <v>415</v>
      </c>
      <c r="F15" s="30" t="s">
        <v>393</v>
      </c>
      <c r="G15" s="30" t="s">
        <v>394</v>
      </c>
      <c r="H15" s="6" t="s">
        <v>416</v>
      </c>
      <c r="I15" s="6" t="s">
        <v>417</v>
      </c>
      <c r="J15" s="30" t="s">
        <v>397</v>
      </c>
      <c r="K15" s="30" t="s">
        <v>394</v>
      </c>
      <c r="L15" s="30" t="s">
        <v>398</v>
      </c>
      <c r="M15" s="6" t="s">
        <v>418</v>
      </c>
      <c r="N15" s="6" t="s">
        <v>419</v>
      </c>
      <c r="O15" s="18">
        <v>2</v>
      </c>
      <c r="P15" s="31" t="s">
        <v>401</v>
      </c>
      <c r="Q15" s="6" t="s">
        <v>420</v>
      </c>
    </row>
    <row r="16" spans="1:17" ht="117.75" customHeight="1" x14ac:dyDescent="0.3">
      <c r="A16" s="7">
        <v>5</v>
      </c>
      <c r="B16" s="17">
        <v>46312</v>
      </c>
      <c r="C16" s="7" t="str">
        <f>TEXT(B16,"ddd")</f>
        <v>Sat</v>
      </c>
      <c r="D16" s="6" t="s">
        <v>421</v>
      </c>
      <c r="E16" s="6" t="s">
        <v>422</v>
      </c>
      <c r="F16" s="30" t="s">
        <v>393</v>
      </c>
      <c r="G16" s="30" t="s">
        <v>394</v>
      </c>
      <c r="H16" s="6" t="s">
        <v>423</v>
      </c>
      <c r="I16" s="6" t="s">
        <v>424</v>
      </c>
      <c r="J16" s="30" t="s">
        <v>397</v>
      </c>
      <c r="K16" s="30" t="s">
        <v>394</v>
      </c>
      <c r="L16" s="30" t="s">
        <v>398</v>
      </c>
      <c r="M16" s="6" t="s">
        <v>425</v>
      </c>
      <c r="N16" s="6" t="s">
        <v>426</v>
      </c>
      <c r="O16" s="18">
        <v>2</v>
      </c>
      <c r="P16" s="31" t="s">
        <v>401</v>
      </c>
      <c r="Q16" s="6" t="s">
        <v>427</v>
      </c>
    </row>
    <row r="17" spans="14:15" x14ac:dyDescent="0.3">
      <c r="N17" s="1" t="s">
        <v>428</v>
      </c>
      <c r="O17" s="27">
        <f>SUM(O12:O16)</f>
        <v>10</v>
      </c>
    </row>
  </sheetData>
  <mergeCells count="11">
    <mergeCell ref="A9:C9"/>
    <mergeCell ref="D6:I6"/>
    <mergeCell ref="A7:C7"/>
    <mergeCell ref="D7:I7"/>
    <mergeCell ref="D8:I8"/>
    <mergeCell ref="A2:F2"/>
    <mergeCell ref="A5:C5"/>
    <mergeCell ref="D5:I5"/>
    <mergeCell ref="A8:C8"/>
    <mergeCell ref="A1:F1"/>
    <mergeCell ref="A6:C6"/>
  </mergeCells>
  <conditionalFormatting sqref="P12:P16">
    <cfRule type="cellIs" dxfId="19" priority="2" operator="equal">
      <formula>"Done"</formula>
    </cfRule>
    <cfRule type="cellIs" dxfId="18" priority="3" operator="equal">
      <formula>"In Progress"</formula>
    </cfRule>
  </conditionalFormatting>
  <dataValidations count="1">
    <dataValidation type="list" allowBlank="1" sqref="P12:P16" xr:uid="{00000000-0002-0000-0300-000000000000}">
      <formula1>"Not Started,In Progress,Done"</formula1>
      <formula2>0</formula2>
    </dataValidation>
  </dataValidations>
  <hyperlinks>
    <hyperlink ref="D5" r:id="rId1" xr:uid="{00000000-0004-0000-0300-000000000000}"/>
    <hyperlink ref="D6" r:id="rId2" xr:uid="{00000000-0004-0000-0300-000001000000}"/>
    <hyperlink ref="D7" r:id="rId3" xr:uid="{00000000-0004-0000-0300-000002000000}"/>
    <hyperlink ref="D9" r:id="rId4" xr:uid="{00000000-0004-0000-0300-000003000000}"/>
    <hyperlink ref="E9" r:id="rId5" xr:uid="{00000000-0004-0000-0300-000004000000}"/>
    <hyperlink ref="F9" r:id="rId6" xr:uid="{00000000-0004-0000-0300-000005000000}"/>
    <hyperlink ref="G9" r:id="rId7" xr:uid="{00000000-0004-0000-0300-000006000000}"/>
    <hyperlink ref="F12" r:id="rId8" xr:uid="{00000000-0004-0000-0300-000007000000}"/>
    <hyperlink ref="G12" r:id="rId9" xr:uid="{00000000-0004-0000-0300-000008000000}"/>
    <hyperlink ref="J12" r:id="rId10" xr:uid="{00000000-0004-0000-0300-000009000000}"/>
    <hyperlink ref="K12" r:id="rId11" xr:uid="{00000000-0004-0000-0300-00000A000000}"/>
    <hyperlink ref="L12" r:id="rId12" xr:uid="{00000000-0004-0000-0300-00000B000000}"/>
    <hyperlink ref="F13" r:id="rId13" xr:uid="{00000000-0004-0000-0300-00000C000000}"/>
    <hyperlink ref="G13" r:id="rId14" xr:uid="{00000000-0004-0000-0300-00000D000000}"/>
    <hyperlink ref="J13" r:id="rId15" xr:uid="{00000000-0004-0000-0300-00000E000000}"/>
    <hyperlink ref="K13" r:id="rId16" xr:uid="{00000000-0004-0000-0300-00000F000000}"/>
    <hyperlink ref="L13" r:id="rId17" xr:uid="{00000000-0004-0000-0300-000010000000}"/>
    <hyperlink ref="F14" r:id="rId18" xr:uid="{00000000-0004-0000-0300-000011000000}"/>
    <hyperlink ref="G14" r:id="rId19" xr:uid="{00000000-0004-0000-0300-000012000000}"/>
    <hyperlink ref="J14" r:id="rId20" xr:uid="{00000000-0004-0000-0300-000013000000}"/>
    <hyperlink ref="K14" r:id="rId21" xr:uid="{00000000-0004-0000-0300-000014000000}"/>
    <hyperlink ref="L14" r:id="rId22" xr:uid="{00000000-0004-0000-0300-000015000000}"/>
    <hyperlink ref="F15" r:id="rId23" xr:uid="{00000000-0004-0000-0300-000016000000}"/>
    <hyperlink ref="G15" r:id="rId24" xr:uid="{00000000-0004-0000-0300-000017000000}"/>
    <hyperlink ref="J15" r:id="rId25" xr:uid="{00000000-0004-0000-0300-000018000000}"/>
    <hyperlink ref="K15" r:id="rId26" xr:uid="{00000000-0004-0000-0300-000019000000}"/>
    <hyperlink ref="L15" r:id="rId27" xr:uid="{00000000-0004-0000-0300-00001A000000}"/>
    <hyperlink ref="F16" r:id="rId28" xr:uid="{00000000-0004-0000-0300-00001B000000}"/>
    <hyperlink ref="G16" r:id="rId29" xr:uid="{00000000-0004-0000-0300-00001C000000}"/>
    <hyperlink ref="J16" r:id="rId30" xr:uid="{00000000-0004-0000-0300-00001D000000}"/>
    <hyperlink ref="K16" r:id="rId31" xr:uid="{00000000-0004-0000-0300-00001E000000}"/>
    <hyperlink ref="L16" r:id="rId32" xr:uid="{00000000-0004-0000-0300-00001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sqref="A1:F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0" customWidth="1"/>
    <col min="5" max="5" width="28" customWidth="1"/>
    <col min="6" max="6" width="38" customWidth="1"/>
    <col min="7" max="7" width="16" customWidth="1"/>
    <col min="8" max="8" width="28" customWidth="1"/>
    <col min="9" max="9" width="40" customWidth="1"/>
    <col min="10" max="10" width="38" customWidth="1"/>
    <col min="11" max="11" width="16" customWidth="1"/>
    <col min="12" max="12" width="38" customWidth="1"/>
    <col min="13" max="13" width="20" customWidth="1"/>
    <col min="14" max="14" width="32" customWidth="1"/>
    <col min="15" max="15" width="9" customWidth="1"/>
    <col min="16" max="16" width="13" customWidth="1"/>
    <col min="17" max="17" width="28" customWidth="1"/>
  </cols>
  <sheetData>
    <row r="1" spans="1:17" ht="17.399999999999999" customHeight="1" x14ac:dyDescent="0.3">
      <c r="A1" s="34" t="s">
        <v>429</v>
      </c>
      <c r="B1" s="33"/>
      <c r="C1" s="33"/>
      <c r="D1" s="33"/>
      <c r="E1" s="33"/>
      <c r="F1" s="33"/>
    </row>
    <row r="2" spans="1:17" x14ac:dyDescent="0.3">
      <c r="A2" s="32" t="s">
        <v>362</v>
      </c>
      <c r="B2" s="33"/>
      <c r="C2" s="33"/>
      <c r="D2" s="33"/>
      <c r="E2" s="33"/>
      <c r="F2" s="33"/>
    </row>
    <row r="4" spans="1:17" x14ac:dyDescent="0.3">
      <c r="A4" s="1" t="s">
        <v>363</v>
      </c>
    </row>
    <row r="5" spans="1:17" x14ac:dyDescent="0.3">
      <c r="A5" s="37" t="s">
        <v>364</v>
      </c>
      <c r="B5" s="33"/>
      <c r="C5" s="33"/>
      <c r="D5" s="38" t="s">
        <v>430</v>
      </c>
      <c r="E5" s="33"/>
      <c r="F5" s="33"/>
      <c r="G5" s="33"/>
      <c r="H5" s="33"/>
      <c r="I5" s="33"/>
    </row>
    <row r="6" spans="1:17" x14ac:dyDescent="0.3">
      <c r="A6" s="37" t="s">
        <v>366</v>
      </c>
      <c r="B6" s="33"/>
      <c r="C6" s="33"/>
      <c r="D6" s="38" t="s">
        <v>431</v>
      </c>
      <c r="E6" s="33"/>
      <c r="F6" s="33"/>
      <c r="G6" s="33"/>
      <c r="H6" s="33"/>
      <c r="I6" s="33"/>
    </row>
    <row r="7" spans="1:17" x14ac:dyDescent="0.3">
      <c r="A7" s="37" t="s">
        <v>432</v>
      </c>
      <c r="B7" s="33"/>
      <c r="C7" s="33"/>
      <c r="D7" s="38" t="s">
        <v>433</v>
      </c>
      <c r="E7" s="33"/>
      <c r="F7" s="33"/>
      <c r="G7" s="33"/>
      <c r="H7" s="33"/>
      <c r="I7" s="33"/>
    </row>
    <row r="8" spans="1:17" x14ac:dyDescent="0.3">
      <c r="A8" s="37" t="s">
        <v>368</v>
      </c>
      <c r="B8" s="33"/>
      <c r="C8" s="33"/>
      <c r="D8" s="38" t="s">
        <v>434</v>
      </c>
      <c r="E8" s="33"/>
      <c r="F8" s="33"/>
      <c r="G8" s="33"/>
      <c r="H8" s="33"/>
      <c r="I8" s="33"/>
    </row>
    <row r="9" spans="1:17" x14ac:dyDescent="0.3">
      <c r="A9" s="37" t="s">
        <v>370</v>
      </c>
      <c r="B9" s="33"/>
      <c r="C9" s="33"/>
      <c r="D9" s="39" t="s">
        <v>435</v>
      </c>
      <c r="E9" s="33"/>
      <c r="F9" s="33"/>
      <c r="G9" s="33"/>
      <c r="H9" s="33"/>
      <c r="I9" s="33"/>
    </row>
    <row r="10" spans="1:17" x14ac:dyDescent="0.3">
      <c r="A10" s="37" t="s">
        <v>372</v>
      </c>
      <c r="B10" s="33"/>
      <c r="C10" s="33"/>
      <c r="D10" s="29" t="s">
        <v>436</v>
      </c>
      <c r="E10" s="29" t="s">
        <v>437</v>
      </c>
      <c r="F10" s="29" t="s">
        <v>438</v>
      </c>
      <c r="G10" s="29" t="s">
        <v>439</v>
      </c>
      <c r="H10" s="29" t="s">
        <v>440</v>
      </c>
    </row>
    <row r="12" spans="1:17" ht="54" customHeight="1" x14ac:dyDescent="0.3">
      <c r="A12" s="5" t="s">
        <v>377</v>
      </c>
      <c r="B12" s="5" t="s">
        <v>190</v>
      </c>
      <c r="C12" s="5" t="s">
        <v>191</v>
      </c>
      <c r="D12" s="5" t="s">
        <v>378</v>
      </c>
      <c r="E12" s="5" t="s">
        <v>379</v>
      </c>
      <c r="F12" s="5" t="s">
        <v>380</v>
      </c>
      <c r="G12" s="5" t="s">
        <v>381</v>
      </c>
      <c r="H12" s="5" t="s">
        <v>382</v>
      </c>
      <c r="I12" s="5" t="s">
        <v>383</v>
      </c>
      <c r="J12" s="5" t="s">
        <v>384</v>
      </c>
      <c r="K12" s="5" t="s">
        <v>385</v>
      </c>
      <c r="L12" s="5" t="s">
        <v>386</v>
      </c>
      <c r="M12" s="5" t="s">
        <v>370</v>
      </c>
      <c r="N12" s="5" t="s">
        <v>387</v>
      </c>
      <c r="O12" s="5" t="s">
        <v>388</v>
      </c>
      <c r="P12" s="5" t="s">
        <v>389</v>
      </c>
      <c r="Q12" s="5" t="s">
        <v>390</v>
      </c>
    </row>
    <row r="13" spans="1:17" ht="117.75" customHeight="1" x14ac:dyDescent="0.3">
      <c r="A13" s="7">
        <v>1</v>
      </c>
      <c r="B13" s="17">
        <v>46314</v>
      </c>
      <c r="C13" s="7" t="str">
        <f t="shared" ref="C13:C21" si="0">TEXT(B13,"ddd")</f>
        <v>Mon</v>
      </c>
      <c r="D13" s="6" t="s">
        <v>441</v>
      </c>
      <c r="E13" s="6" t="s">
        <v>442</v>
      </c>
      <c r="F13" s="30" t="s">
        <v>443</v>
      </c>
      <c r="G13" s="30" t="s">
        <v>394</v>
      </c>
      <c r="H13" s="6" t="s">
        <v>444</v>
      </c>
      <c r="I13" s="6" t="s">
        <v>445</v>
      </c>
      <c r="J13" s="30" t="s">
        <v>446</v>
      </c>
      <c r="K13" s="30" t="s">
        <v>394</v>
      </c>
      <c r="L13" s="30" t="s">
        <v>447</v>
      </c>
      <c r="M13" s="6" t="s">
        <v>448</v>
      </c>
      <c r="N13" s="6" t="s">
        <v>449</v>
      </c>
      <c r="O13" s="18">
        <v>2.5</v>
      </c>
      <c r="P13" s="31" t="s">
        <v>401</v>
      </c>
      <c r="Q13" s="6"/>
    </row>
    <row r="14" spans="1:17" ht="117.75" customHeight="1" x14ac:dyDescent="0.3">
      <c r="A14" s="7">
        <v>2</v>
      </c>
      <c r="B14" s="17">
        <v>46315</v>
      </c>
      <c r="C14" s="7" t="str">
        <f t="shared" si="0"/>
        <v>Tue</v>
      </c>
      <c r="D14" s="6" t="s">
        <v>450</v>
      </c>
      <c r="E14" s="6" t="s">
        <v>451</v>
      </c>
      <c r="F14" s="30" t="s">
        <v>443</v>
      </c>
      <c r="G14" s="30" t="s">
        <v>394</v>
      </c>
      <c r="H14" s="6" t="s">
        <v>452</v>
      </c>
      <c r="I14" s="6" t="s">
        <v>453</v>
      </c>
      <c r="J14" s="30" t="s">
        <v>446</v>
      </c>
      <c r="K14" s="30" t="s">
        <v>394</v>
      </c>
      <c r="L14" s="30" t="s">
        <v>447</v>
      </c>
      <c r="M14" s="6" t="s">
        <v>454</v>
      </c>
      <c r="N14" s="6" t="s">
        <v>455</v>
      </c>
      <c r="O14" s="18">
        <v>2.5</v>
      </c>
      <c r="P14" s="31" t="s">
        <v>401</v>
      </c>
      <c r="Q14" s="6" t="s">
        <v>456</v>
      </c>
    </row>
    <row r="15" spans="1:17" ht="117.75" customHeight="1" x14ac:dyDescent="0.3">
      <c r="A15" s="7">
        <v>3</v>
      </c>
      <c r="B15" s="17">
        <v>46316</v>
      </c>
      <c r="C15" s="7" t="str">
        <f t="shared" si="0"/>
        <v>Wed</v>
      </c>
      <c r="D15" s="6" t="s">
        <v>457</v>
      </c>
      <c r="E15" s="6" t="s">
        <v>458</v>
      </c>
      <c r="F15" s="30" t="s">
        <v>443</v>
      </c>
      <c r="G15" s="30" t="s">
        <v>394</v>
      </c>
      <c r="H15" s="6" t="s">
        <v>459</v>
      </c>
      <c r="I15" s="6" t="s">
        <v>460</v>
      </c>
      <c r="J15" s="30" t="s">
        <v>446</v>
      </c>
      <c r="K15" s="30" t="s">
        <v>394</v>
      </c>
      <c r="L15" s="30" t="s">
        <v>447</v>
      </c>
      <c r="M15" s="6" t="s">
        <v>461</v>
      </c>
      <c r="N15" s="6" t="s">
        <v>462</v>
      </c>
      <c r="O15" s="18">
        <v>2.5</v>
      </c>
      <c r="P15" s="31" t="s">
        <v>401</v>
      </c>
      <c r="Q15" s="6" t="s">
        <v>463</v>
      </c>
    </row>
    <row r="16" spans="1:17" ht="117.75" customHeight="1" x14ac:dyDescent="0.3">
      <c r="A16" s="7">
        <v>4</v>
      </c>
      <c r="B16" s="17">
        <v>46317</v>
      </c>
      <c r="C16" s="7" t="str">
        <f t="shared" si="0"/>
        <v>Thu</v>
      </c>
      <c r="D16" s="6" t="s">
        <v>464</v>
      </c>
      <c r="E16" s="6" t="s">
        <v>465</v>
      </c>
      <c r="F16" s="30" t="s">
        <v>443</v>
      </c>
      <c r="G16" s="30" t="s">
        <v>394</v>
      </c>
      <c r="H16" s="6" t="s">
        <v>466</v>
      </c>
      <c r="I16" s="6" t="s">
        <v>467</v>
      </c>
      <c r="J16" s="30" t="s">
        <v>446</v>
      </c>
      <c r="K16" s="30" t="s">
        <v>394</v>
      </c>
      <c r="L16" s="30" t="s">
        <v>447</v>
      </c>
      <c r="M16" s="6" t="s">
        <v>468</v>
      </c>
      <c r="N16" s="6" t="s">
        <v>469</v>
      </c>
      <c r="O16" s="18">
        <v>2.5</v>
      </c>
      <c r="P16" s="31" t="s">
        <v>401</v>
      </c>
      <c r="Q16" s="6" t="s">
        <v>463</v>
      </c>
    </row>
    <row r="17" spans="1:17" ht="117.75" customHeight="1" x14ac:dyDescent="0.3">
      <c r="A17" s="7">
        <v>5</v>
      </c>
      <c r="B17" s="17">
        <v>46318</v>
      </c>
      <c r="C17" s="7" t="str">
        <f t="shared" si="0"/>
        <v>Fri</v>
      </c>
      <c r="D17" s="6" t="s">
        <v>470</v>
      </c>
      <c r="E17" s="6" t="s">
        <v>471</v>
      </c>
      <c r="F17" s="30" t="s">
        <v>443</v>
      </c>
      <c r="G17" s="30" t="s">
        <v>394</v>
      </c>
      <c r="H17" s="6" t="s">
        <v>472</v>
      </c>
      <c r="I17" s="6" t="s">
        <v>473</v>
      </c>
      <c r="J17" s="30" t="s">
        <v>446</v>
      </c>
      <c r="K17" s="30" t="s">
        <v>394</v>
      </c>
      <c r="L17" s="30" t="s">
        <v>447</v>
      </c>
      <c r="M17" s="6" t="s">
        <v>474</v>
      </c>
      <c r="N17" s="6" t="s">
        <v>475</v>
      </c>
      <c r="O17" s="18">
        <v>2.5</v>
      </c>
      <c r="P17" s="31" t="s">
        <v>401</v>
      </c>
      <c r="Q17" s="6" t="s">
        <v>463</v>
      </c>
    </row>
    <row r="18" spans="1:17" ht="117.75" customHeight="1" x14ac:dyDescent="0.3">
      <c r="A18" s="7">
        <v>6</v>
      </c>
      <c r="B18" s="17">
        <v>46319</v>
      </c>
      <c r="C18" s="7" t="str">
        <f t="shared" si="0"/>
        <v>Sat</v>
      </c>
      <c r="D18" s="6" t="s">
        <v>476</v>
      </c>
      <c r="E18" s="6" t="s">
        <v>477</v>
      </c>
      <c r="F18" s="30" t="s">
        <v>443</v>
      </c>
      <c r="G18" s="30" t="s">
        <v>394</v>
      </c>
      <c r="H18" s="6" t="s">
        <v>478</v>
      </c>
      <c r="I18" s="6" t="s">
        <v>479</v>
      </c>
      <c r="J18" s="30" t="s">
        <v>446</v>
      </c>
      <c r="K18" s="30" t="s">
        <v>394</v>
      </c>
      <c r="L18" s="30" t="s">
        <v>447</v>
      </c>
      <c r="M18" s="6" t="s">
        <v>480</v>
      </c>
      <c r="N18" s="6" t="s">
        <v>481</v>
      </c>
      <c r="O18" s="18">
        <v>2.5</v>
      </c>
      <c r="P18" s="31" t="s">
        <v>401</v>
      </c>
      <c r="Q18" s="6" t="s">
        <v>463</v>
      </c>
    </row>
    <row r="19" spans="1:17" ht="117.75" customHeight="1" x14ac:dyDescent="0.3">
      <c r="A19" s="7">
        <v>7</v>
      </c>
      <c r="B19" s="17">
        <v>46321</v>
      </c>
      <c r="C19" s="7" t="str">
        <f t="shared" si="0"/>
        <v>Mon</v>
      </c>
      <c r="D19" s="6" t="s">
        <v>482</v>
      </c>
      <c r="E19" s="6" t="s">
        <v>483</v>
      </c>
      <c r="F19" s="30" t="s">
        <v>484</v>
      </c>
      <c r="G19" s="30" t="s">
        <v>394</v>
      </c>
      <c r="H19" s="6" t="s">
        <v>485</v>
      </c>
      <c r="I19" s="6" t="s">
        <v>486</v>
      </c>
      <c r="J19" s="30" t="s">
        <v>446</v>
      </c>
      <c r="K19" s="30" t="s">
        <v>394</v>
      </c>
      <c r="L19" s="30" t="s">
        <v>447</v>
      </c>
      <c r="M19" s="6" t="s">
        <v>487</v>
      </c>
      <c r="N19" s="6" t="s">
        <v>488</v>
      </c>
      <c r="O19" s="18">
        <v>3</v>
      </c>
      <c r="P19" s="31" t="s">
        <v>401</v>
      </c>
      <c r="Q19" s="6"/>
    </row>
    <row r="20" spans="1:17" ht="117.75" customHeight="1" x14ac:dyDescent="0.3">
      <c r="A20" s="7">
        <v>8</v>
      </c>
      <c r="B20" s="17">
        <v>46322</v>
      </c>
      <c r="C20" s="7" t="str">
        <f t="shared" si="0"/>
        <v>Tue</v>
      </c>
      <c r="D20" s="6" t="s">
        <v>489</v>
      </c>
      <c r="E20" s="6" t="s">
        <v>490</v>
      </c>
      <c r="F20" s="30" t="s">
        <v>484</v>
      </c>
      <c r="G20" s="30" t="s">
        <v>394</v>
      </c>
      <c r="H20" s="6" t="s">
        <v>491</v>
      </c>
      <c r="I20" s="6" t="s">
        <v>492</v>
      </c>
      <c r="J20" s="30" t="s">
        <v>446</v>
      </c>
      <c r="K20" s="30" t="s">
        <v>394</v>
      </c>
      <c r="L20" s="30" t="s">
        <v>447</v>
      </c>
      <c r="M20" s="6" t="s">
        <v>88</v>
      </c>
      <c r="N20" s="6" t="s">
        <v>493</v>
      </c>
      <c r="O20" s="18">
        <v>3</v>
      </c>
      <c r="P20" s="31" t="s">
        <v>401</v>
      </c>
      <c r="Q20" s="6"/>
    </row>
    <row r="21" spans="1:17" ht="117.75" customHeight="1" x14ac:dyDescent="0.3">
      <c r="A21" s="7">
        <v>9</v>
      </c>
      <c r="B21" s="17">
        <v>46323</v>
      </c>
      <c r="C21" s="7" t="str">
        <f t="shared" si="0"/>
        <v>Wed</v>
      </c>
      <c r="D21" s="6" t="s">
        <v>494</v>
      </c>
      <c r="E21" s="6" t="s">
        <v>495</v>
      </c>
      <c r="F21" s="30" t="s">
        <v>496</v>
      </c>
      <c r="G21" s="30" t="s">
        <v>394</v>
      </c>
      <c r="H21" s="6" t="s">
        <v>497</v>
      </c>
      <c r="I21" s="6" t="s">
        <v>498</v>
      </c>
      <c r="J21" s="30" t="s">
        <v>446</v>
      </c>
      <c r="K21" s="30" t="s">
        <v>394</v>
      </c>
      <c r="L21" s="30" t="s">
        <v>447</v>
      </c>
      <c r="M21" s="6" t="s">
        <v>88</v>
      </c>
      <c r="N21" s="6" t="s">
        <v>499</v>
      </c>
      <c r="O21" s="18">
        <v>3</v>
      </c>
      <c r="P21" s="31" t="s">
        <v>401</v>
      </c>
      <c r="Q21" s="6"/>
    </row>
    <row r="22" spans="1:17" x14ac:dyDescent="0.3">
      <c r="N22" s="1" t="s">
        <v>428</v>
      </c>
      <c r="O22" s="27">
        <f>SUM(O13:O21)</f>
        <v>24</v>
      </c>
    </row>
  </sheetData>
  <mergeCells count="13">
    <mergeCell ref="A1:F1"/>
    <mergeCell ref="A6:C6"/>
    <mergeCell ref="D9:I9"/>
    <mergeCell ref="A9:C9"/>
    <mergeCell ref="D6:I6"/>
    <mergeCell ref="A7:C7"/>
    <mergeCell ref="D7:I7"/>
    <mergeCell ref="D8:I8"/>
    <mergeCell ref="A10:C10"/>
    <mergeCell ref="A2:F2"/>
    <mergeCell ref="A5:C5"/>
    <mergeCell ref="D5:I5"/>
    <mergeCell ref="A8:C8"/>
  </mergeCells>
  <conditionalFormatting sqref="P13:P21">
    <cfRule type="cellIs" dxfId="17" priority="2" operator="equal">
      <formula>"Done"</formula>
    </cfRule>
    <cfRule type="cellIs" dxfId="16" priority="3" operator="equal">
      <formula>"In Progress"</formula>
    </cfRule>
  </conditionalFormatting>
  <dataValidations count="1">
    <dataValidation type="list" allowBlank="1" sqref="P13:P21" xr:uid="{00000000-0002-0000-0400-000000000000}">
      <formula1>"Not Started,In Progress,Done"</formula1>
      <formula2>0</formula2>
    </dataValidation>
  </dataValidations>
  <hyperlinks>
    <hyperlink ref="D5" r:id="rId1" xr:uid="{00000000-0004-0000-0400-000000000000}"/>
    <hyperlink ref="D6" r:id="rId2" xr:uid="{00000000-0004-0000-0400-000001000000}"/>
    <hyperlink ref="D7" r:id="rId3" xr:uid="{00000000-0004-0000-0400-000002000000}"/>
    <hyperlink ref="D8" r:id="rId4" xr:uid="{00000000-0004-0000-0400-000003000000}"/>
    <hyperlink ref="D10" r:id="rId5" xr:uid="{00000000-0004-0000-0400-000004000000}"/>
    <hyperlink ref="E10" r:id="rId6" xr:uid="{00000000-0004-0000-0400-000005000000}"/>
    <hyperlink ref="F10" r:id="rId7" xr:uid="{00000000-0004-0000-0400-000006000000}"/>
    <hyperlink ref="G10" r:id="rId8" xr:uid="{00000000-0004-0000-0400-000007000000}"/>
    <hyperlink ref="H10" r:id="rId9" xr:uid="{00000000-0004-0000-0400-000008000000}"/>
    <hyperlink ref="F13" r:id="rId10" xr:uid="{00000000-0004-0000-0400-000009000000}"/>
    <hyperlink ref="G13" r:id="rId11" xr:uid="{00000000-0004-0000-0400-00000A000000}"/>
    <hyperlink ref="J13" r:id="rId12" xr:uid="{00000000-0004-0000-0400-00000B000000}"/>
    <hyperlink ref="K13" r:id="rId13" xr:uid="{00000000-0004-0000-0400-00000C000000}"/>
    <hyperlink ref="L13" r:id="rId14" xr:uid="{00000000-0004-0000-0400-00000D000000}"/>
    <hyperlink ref="F14" r:id="rId15" xr:uid="{00000000-0004-0000-0400-00000E000000}"/>
    <hyperlink ref="G14" r:id="rId16" xr:uid="{00000000-0004-0000-0400-00000F000000}"/>
    <hyperlink ref="J14" r:id="rId17" xr:uid="{00000000-0004-0000-0400-000010000000}"/>
    <hyperlink ref="K14" r:id="rId18" xr:uid="{00000000-0004-0000-0400-000011000000}"/>
    <hyperlink ref="L14" r:id="rId19" xr:uid="{00000000-0004-0000-0400-000012000000}"/>
    <hyperlink ref="F15" r:id="rId20" xr:uid="{00000000-0004-0000-0400-000013000000}"/>
    <hyperlink ref="G15" r:id="rId21" xr:uid="{00000000-0004-0000-0400-000014000000}"/>
    <hyperlink ref="J15" r:id="rId22" xr:uid="{00000000-0004-0000-0400-000015000000}"/>
    <hyperlink ref="K15" r:id="rId23" xr:uid="{00000000-0004-0000-0400-000016000000}"/>
    <hyperlink ref="L15" r:id="rId24" xr:uid="{00000000-0004-0000-0400-000017000000}"/>
    <hyperlink ref="F16" r:id="rId25" xr:uid="{00000000-0004-0000-0400-000018000000}"/>
    <hyperlink ref="G16" r:id="rId26" xr:uid="{00000000-0004-0000-0400-000019000000}"/>
    <hyperlink ref="J16" r:id="rId27" xr:uid="{00000000-0004-0000-0400-00001A000000}"/>
    <hyperlink ref="K16" r:id="rId28" xr:uid="{00000000-0004-0000-0400-00001B000000}"/>
    <hyperlink ref="L16" r:id="rId29" xr:uid="{00000000-0004-0000-0400-00001C000000}"/>
    <hyperlink ref="F17" r:id="rId30" xr:uid="{00000000-0004-0000-0400-00001D000000}"/>
    <hyperlink ref="G17" r:id="rId31" xr:uid="{00000000-0004-0000-0400-00001E000000}"/>
    <hyperlink ref="J17" r:id="rId32" xr:uid="{00000000-0004-0000-0400-00001F000000}"/>
    <hyperlink ref="K17" r:id="rId33" xr:uid="{00000000-0004-0000-0400-000020000000}"/>
    <hyperlink ref="L17" r:id="rId34" xr:uid="{00000000-0004-0000-0400-000021000000}"/>
    <hyperlink ref="F18" r:id="rId35" xr:uid="{00000000-0004-0000-0400-000022000000}"/>
    <hyperlink ref="G18" r:id="rId36" xr:uid="{00000000-0004-0000-0400-000023000000}"/>
    <hyperlink ref="J18" r:id="rId37" xr:uid="{00000000-0004-0000-0400-000024000000}"/>
    <hyperlink ref="K18" r:id="rId38" xr:uid="{00000000-0004-0000-0400-000025000000}"/>
    <hyperlink ref="L18" r:id="rId39" xr:uid="{00000000-0004-0000-0400-000026000000}"/>
    <hyperlink ref="F19" r:id="rId40" xr:uid="{00000000-0004-0000-0400-000027000000}"/>
    <hyperlink ref="G19" r:id="rId41" xr:uid="{00000000-0004-0000-0400-000028000000}"/>
    <hyperlink ref="J19" r:id="rId42" xr:uid="{00000000-0004-0000-0400-000029000000}"/>
    <hyperlink ref="K19" r:id="rId43" xr:uid="{00000000-0004-0000-0400-00002A000000}"/>
    <hyperlink ref="L19" r:id="rId44" xr:uid="{00000000-0004-0000-0400-00002B000000}"/>
    <hyperlink ref="F20" r:id="rId45" xr:uid="{00000000-0004-0000-0400-00002C000000}"/>
    <hyperlink ref="G20" r:id="rId46" xr:uid="{00000000-0004-0000-0400-00002D000000}"/>
    <hyperlink ref="J20" r:id="rId47" xr:uid="{00000000-0004-0000-0400-00002E000000}"/>
    <hyperlink ref="K20" r:id="rId48" xr:uid="{00000000-0004-0000-0400-00002F000000}"/>
    <hyperlink ref="L20" r:id="rId49" xr:uid="{00000000-0004-0000-0400-000030000000}"/>
    <hyperlink ref="F21" r:id="rId50" xr:uid="{00000000-0004-0000-0400-000031000000}"/>
    <hyperlink ref="G21" r:id="rId51" xr:uid="{00000000-0004-0000-0400-000032000000}"/>
    <hyperlink ref="J21" r:id="rId52" xr:uid="{00000000-0004-0000-0400-000033000000}"/>
    <hyperlink ref="K21" r:id="rId53" xr:uid="{00000000-0004-0000-0400-000034000000}"/>
    <hyperlink ref="L21" r:id="rId54" xr:uid="{00000000-0004-0000-0400-00003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sqref="A1:F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0" customWidth="1"/>
    <col min="5" max="5" width="28" customWidth="1"/>
    <col min="6" max="6" width="38" customWidth="1"/>
    <col min="7" max="7" width="16" customWidth="1"/>
    <col min="8" max="8" width="28" customWidth="1"/>
    <col min="9" max="9" width="40" customWidth="1"/>
    <col min="10" max="10" width="38" customWidth="1"/>
    <col min="11" max="11" width="16" customWidth="1"/>
    <col min="12" max="12" width="38" customWidth="1"/>
    <col min="13" max="13" width="20" customWidth="1"/>
    <col min="14" max="14" width="32" customWidth="1"/>
    <col min="15" max="15" width="9" customWidth="1"/>
    <col min="16" max="16" width="13" customWidth="1"/>
    <col min="17" max="17" width="28" customWidth="1"/>
  </cols>
  <sheetData>
    <row r="1" spans="1:17" ht="17.399999999999999" customHeight="1" x14ac:dyDescent="0.3">
      <c r="A1" s="34" t="s">
        <v>500</v>
      </c>
      <c r="B1" s="33"/>
      <c r="C1" s="33"/>
      <c r="D1" s="33"/>
      <c r="E1" s="33"/>
      <c r="F1" s="33"/>
    </row>
    <row r="2" spans="1:17" x14ac:dyDescent="0.3">
      <c r="A2" s="32" t="s">
        <v>501</v>
      </c>
      <c r="B2" s="33"/>
      <c r="C2" s="33"/>
      <c r="D2" s="33"/>
      <c r="E2" s="33"/>
      <c r="F2" s="33"/>
    </row>
    <row r="4" spans="1:17" x14ac:dyDescent="0.3">
      <c r="A4" s="1" t="s">
        <v>363</v>
      </c>
    </row>
    <row r="5" spans="1:17" x14ac:dyDescent="0.3">
      <c r="A5" s="37" t="s">
        <v>364</v>
      </c>
      <c r="B5" s="33"/>
      <c r="C5" s="33"/>
      <c r="D5" s="38" t="s">
        <v>502</v>
      </c>
      <c r="E5" s="33"/>
      <c r="F5" s="33"/>
      <c r="G5" s="33"/>
      <c r="H5" s="33"/>
      <c r="I5" s="33"/>
    </row>
    <row r="6" spans="1:17" x14ac:dyDescent="0.3">
      <c r="A6" s="37" t="s">
        <v>366</v>
      </c>
      <c r="B6" s="33"/>
      <c r="C6" s="33"/>
      <c r="D6" s="38" t="s">
        <v>503</v>
      </c>
      <c r="E6" s="33"/>
      <c r="F6" s="33"/>
      <c r="G6" s="33"/>
      <c r="H6" s="33"/>
      <c r="I6" s="33"/>
    </row>
    <row r="7" spans="1:17" x14ac:dyDescent="0.3">
      <c r="A7" s="37" t="s">
        <v>432</v>
      </c>
      <c r="B7" s="33"/>
      <c r="C7" s="33"/>
      <c r="D7" s="38" t="s">
        <v>504</v>
      </c>
      <c r="E7" s="33"/>
      <c r="F7" s="33"/>
      <c r="G7" s="33"/>
      <c r="H7" s="33"/>
      <c r="I7" s="33"/>
    </row>
    <row r="8" spans="1:17" x14ac:dyDescent="0.3">
      <c r="A8" s="37" t="s">
        <v>368</v>
      </c>
      <c r="B8" s="33"/>
      <c r="C8" s="33"/>
      <c r="D8" s="38" t="s">
        <v>505</v>
      </c>
      <c r="E8" s="33"/>
      <c r="F8" s="33"/>
      <c r="G8" s="33"/>
      <c r="H8" s="33"/>
      <c r="I8" s="33"/>
    </row>
    <row r="9" spans="1:17" x14ac:dyDescent="0.3">
      <c r="A9" s="37" t="s">
        <v>370</v>
      </c>
      <c r="B9" s="33"/>
      <c r="C9" s="33"/>
      <c r="D9" s="39" t="s">
        <v>506</v>
      </c>
      <c r="E9" s="33"/>
      <c r="F9" s="33"/>
      <c r="G9" s="33"/>
      <c r="H9" s="33"/>
      <c r="I9" s="33"/>
    </row>
    <row r="10" spans="1:17" ht="22.8" customHeight="1" x14ac:dyDescent="0.3">
      <c r="A10" s="37" t="s">
        <v>372</v>
      </c>
      <c r="B10" s="33"/>
      <c r="C10" s="33"/>
      <c r="D10" s="29" t="s">
        <v>507</v>
      </c>
      <c r="E10" s="29" t="s">
        <v>508</v>
      </c>
      <c r="F10" s="29" t="s">
        <v>509</v>
      </c>
      <c r="G10" s="29" t="s">
        <v>510</v>
      </c>
      <c r="H10" s="29" t="s">
        <v>511</v>
      </c>
    </row>
    <row r="12" spans="1:17" ht="54" customHeight="1" x14ac:dyDescent="0.3">
      <c r="A12" s="5" t="s">
        <v>377</v>
      </c>
      <c r="B12" s="5" t="s">
        <v>190</v>
      </c>
      <c r="C12" s="5" t="s">
        <v>191</v>
      </c>
      <c r="D12" s="5" t="s">
        <v>378</v>
      </c>
      <c r="E12" s="5" t="s">
        <v>379</v>
      </c>
      <c r="F12" s="5" t="s">
        <v>380</v>
      </c>
      <c r="G12" s="5" t="s">
        <v>381</v>
      </c>
      <c r="H12" s="5" t="s">
        <v>382</v>
      </c>
      <c r="I12" s="5" t="s">
        <v>383</v>
      </c>
      <c r="J12" s="5" t="s">
        <v>384</v>
      </c>
      <c r="K12" s="5" t="s">
        <v>385</v>
      </c>
      <c r="L12" s="5" t="s">
        <v>386</v>
      </c>
      <c r="M12" s="5" t="s">
        <v>370</v>
      </c>
      <c r="N12" s="5" t="s">
        <v>387</v>
      </c>
      <c r="O12" s="5" t="s">
        <v>388</v>
      </c>
      <c r="P12" s="5" t="s">
        <v>389</v>
      </c>
      <c r="Q12" s="5" t="s">
        <v>390</v>
      </c>
    </row>
    <row r="13" spans="1:17" ht="117.75" customHeight="1" x14ac:dyDescent="0.3">
      <c r="A13" s="7">
        <v>1</v>
      </c>
      <c r="B13" s="17">
        <v>46324</v>
      </c>
      <c r="C13" s="7" t="str">
        <f t="shared" ref="C13:C25" si="0">TEXT(B13,"ddd")</f>
        <v>Thu</v>
      </c>
      <c r="D13" s="6" t="s">
        <v>512</v>
      </c>
      <c r="E13" s="6" t="s">
        <v>513</v>
      </c>
      <c r="F13" s="30" t="s">
        <v>496</v>
      </c>
      <c r="G13" s="30" t="s">
        <v>394</v>
      </c>
      <c r="H13" s="6" t="s">
        <v>514</v>
      </c>
      <c r="I13" s="6" t="s">
        <v>515</v>
      </c>
      <c r="J13" s="30" t="s">
        <v>516</v>
      </c>
      <c r="K13" s="30" t="s">
        <v>394</v>
      </c>
      <c r="L13" s="30" t="s">
        <v>517</v>
      </c>
      <c r="M13" s="6" t="s">
        <v>518</v>
      </c>
      <c r="N13" s="6" t="s">
        <v>519</v>
      </c>
      <c r="O13" s="18">
        <v>3</v>
      </c>
      <c r="P13" s="31" t="s">
        <v>401</v>
      </c>
      <c r="Q13" s="6"/>
    </row>
    <row r="14" spans="1:17" ht="117.75" customHeight="1" x14ac:dyDescent="0.3">
      <c r="A14" s="7">
        <v>2</v>
      </c>
      <c r="B14" s="17">
        <v>46325</v>
      </c>
      <c r="C14" s="7" t="str">
        <f t="shared" si="0"/>
        <v>Fri</v>
      </c>
      <c r="D14" s="6" t="s">
        <v>520</v>
      </c>
      <c r="E14" s="6" t="s">
        <v>521</v>
      </c>
      <c r="F14" s="30" t="s">
        <v>496</v>
      </c>
      <c r="G14" s="30" t="s">
        <v>394</v>
      </c>
      <c r="H14" s="6" t="s">
        <v>522</v>
      </c>
      <c r="I14" s="6" t="s">
        <v>523</v>
      </c>
      <c r="J14" s="30" t="s">
        <v>516</v>
      </c>
      <c r="K14" s="30" t="s">
        <v>394</v>
      </c>
      <c r="L14" s="30" t="s">
        <v>517</v>
      </c>
      <c r="M14" s="6" t="s">
        <v>524</v>
      </c>
      <c r="N14" s="6" t="s">
        <v>525</v>
      </c>
      <c r="O14" s="18">
        <v>3</v>
      </c>
      <c r="P14" s="31" t="s">
        <v>401</v>
      </c>
      <c r="Q14" s="6"/>
    </row>
    <row r="15" spans="1:17" ht="117.75" customHeight="1" x14ac:dyDescent="0.3">
      <c r="A15" s="7">
        <v>3</v>
      </c>
      <c r="B15" s="17">
        <v>46326</v>
      </c>
      <c r="C15" s="7" t="str">
        <f t="shared" si="0"/>
        <v>Sat</v>
      </c>
      <c r="D15" s="6" t="s">
        <v>526</v>
      </c>
      <c r="E15" s="6" t="s">
        <v>527</v>
      </c>
      <c r="F15" s="30" t="s">
        <v>496</v>
      </c>
      <c r="G15" s="30" t="s">
        <v>394</v>
      </c>
      <c r="H15" s="6" t="s">
        <v>528</v>
      </c>
      <c r="I15" s="6" t="s">
        <v>529</v>
      </c>
      <c r="J15" s="30" t="s">
        <v>516</v>
      </c>
      <c r="K15" s="30" t="s">
        <v>394</v>
      </c>
      <c r="L15" s="30" t="s">
        <v>517</v>
      </c>
      <c r="M15" s="6" t="s">
        <v>530</v>
      </c>
      <c r="N15" s="6" t="s">
        <v>531</v>
      </c>
      <c r="O15" s="18">
        <v>3</v>
      </c>
      <c r="P15" s="31" t="s">
        <v>401</v>
      </c>
      <c r="Q15" s="6"/>
    </row>
    <row r="16" spans="1:17" ht="117.75" customHeight="1" x14ac:dyDescent="0.3">
      <c r="A16" s="7">
        <v>4</v>
      </c>
      <c r="B16" s="17">
        <v>46328</v>
      </c>
      <c r="C16" s="7" t="str">
        <f t="shared" si="0"/>
        <v>Mon</v>
      </c>
      <c r="D16" s="6" t="s">
        <v>532</v>
      </c>
      <c r="E16" s="6" t="s">
        <v>533</v>
      </c>
      <c r="F16" s="30" t="s">
        <v>496</v>
      </c>
      <c r="G16" s="30" t="s">
        <v>394</v>
      </c>
      <c r="H16" s="6" t="s">
        <v>534</v>
      </c>
      <c r="I16" s="6" t="s">
        <v>535</v>
      </c>
      <c r="J16" s="30" t="s">
        <v>516</v>
      </c>
      <c r="K16" s="30" t="s">
        <v>394</v>
      </c>
      <c r="L16" s="30" t="s">
        <v>517</v>
      </c>
      <c r="M16" s="6" t="s">
        <v>536</v>
      </c>
      <c r="N16" s="6" t="s">
        <v>537</v>
      </c>
      <c r="O16" s="18">
        <v>3</v>
      </c>
      <c r="P16" s="31" t="s">
        <v>401</v>
      </c>
      <c r="Q16" s="6"/>
    </row>
    <row r="17" spans="1:17" ht="117.75" customHeight="1" x14ac:dyDescent="0.3">
      <c r="A17" s="7">
        <v>5</v>
      </c>
      <c r="B17" s="17">
        <v>46329</v>
      </c>
      <c r="C17" s="7" t="str">
        <f t="shared" si="0"/>
        <v>Tue</v>
      </c>
      <c r="D17" s="6" t="s">
        <v>538</v>
      </c>
      <c r="E17" s="6" t="s">
        <v>539</v>
      </c>
      <c r="F17" s="30" t="s">
        <v>540</v>
      </c>
      <c r="G17" s="30" t="s">
        <v>394</v>
      </c>
      <c r="H17" s="6" t="s">
        <v>541</v>
      </c>
      <c r="I17" s="6" t="s">
        <v>542</v>
      </c>
      <c r="J17" s="30" t="s">
        <v>516</v>
      </c>
      <c r="K17" s="30" t="s">
        <v>394</v>
      </c>
      <c r="L17" s="30" t="s">
        <v>517</v>
      </c>
      <c r="M17" s="6" t="s">
        <v>543</v>
      </c>
      <c r="N17" s="6" t="s">
        <v>544</v>
      </c>
      <c r="O17" s="18">
        <v>3</v>
      </c>
      <c r="P17" s="31" t="s">
        <v>401</v>
      </c>
      <c r="Q17" s="6"/>
    </row>
    <row r="18" spans="1:17" ht="117.75" customHeight="1" x14ac:dyDescent="0.3">
      <c r="A18" s="7">
        <v>6</v>
      </c>
      <c r="B18" s="17">
        <v>46330</v>
      </c>
      <c r="C18" s="7" t="str">
        <f t="shared" si="0"/>
        <v>Wed</v>
      </c>
      <c r="D18" s="6" t="s">
        <v>441</v>
      </c>
      <c r="E18" s="6" t="s">
        <v>545</v>
      </c>
      <c r="F18" s="30" t="s">
        <v>540</v>
      </c>
      <c r="G18" s="30" t="s">
        <v>394</v>
      </c>
      <c r="H18" s="6" t="s">
        <v>546</v>
      </c>
      <c r="I18" s="6" t="s">
        <v>547</v>
      </c>
      <c r="J18" s="30" t="s">
        <v>516</v>
      </c>
      <c r="K18" s="30" t="s">
        <v>394</v>
      </c>
      <c r="L18" s="30" t="s">
        <v>517</v>
      </c>
      <c r="M18" s="6" t="s">
        <v>548</v>
      </c>
      <c r="N18" s="6" t="s">
        <v>549</v>
      </c>
      <c r="O18" s="18">
        <v>3</v>
      </c>
      <c r="P18" s="31" t="s">
        <v>401</v>
      </c>
      <c r="Q18" s="6"/>
    </row>
    <row r="19" spans="1:17" ht="117.75" customHeight="1" x14ac:dyDescent="0.3">
      <c r="A19" s="7">
        <v>7</v>
      </c>
      <c r="B19" s="17">
        <v>46331</v>
      </c>
      <c r="C19" s="7" t="str">
        <f t="shared" si="0"/>
        <v>Thu</v>
      </c>
      <c r="D19" s="6" t="s">
        <v>450</v>
      </c>
      <c r="E19" s="6" t="s">
        <v>550</v>
      </c>
      <c r="F19" s="30" t="s">
        <v>551</v>
      </c>
      <c r="G19" s="30" t="s">
        <v>394</v>
      </c>
      <c r="H19" s="6" t="s">
        <v>552</v>
      </c>
      <c r="I19" s="6" t="s">
        <v>553</v>
      </c>
      <c r="J19" s="30" t="s">
        <v>516</v>
      </c>
      <c r="K19" s="30" t="s">
        <v>394</v>
      </c>
      <c r="L19" s="30" t="s">
        <v>517</v>
      </c>
      <c r="M19" s="6" t="s">
        <v>554</v>
      </c>
      <c r="N19" s="6" t="s">
        <v>555</v>
      </c>
      <c r="O19" s="18">
        <v>3</v>
      </c>
      <c r="P19" s="31" t="s">
        <v>401</v>
      </c>
      <c r="Q19" s="6"/>
    </row>
    <row r="20" spans="1:17" ht="117.75" customHeight="1" x14ac:dyDescent="0.3">
      <c r="A20" s="7">
        <v>8</v>
      </c>
      <c r="B20" s="17">
        <v>46332</v>
      </c>
      <c r="C20" s="7" t="str">
        <f t="shared" si="0"/>
        <v>Fri</v>
      </c>
      <c r="D20" s="6" t="s">
        <v>457</v>
      </c>
      <c r="E20" s="6" t="s">
        <v>556</v>
      </c>
      <c r="F20" s="30" t="s">
        <v>540</v>
      </c>
      <c r="G20" s="30" t="s">
        <v>394</v>
      </c>
      <c r="H20" s="6" t="s">
        <v>557</v>
      </c>
      <c r="I20" s="6" t="s">
        <v>558</v>
      </c>
      <c r="J20" s="30" t="s">
        <v>516</v>
      </c>
      <c r="K20" s="30" t="s">
        <v>394</v>
      </c>
      <c r="L20" s="30" t="s">
        <v>517</v>
      </c>
      <c r="M20" s="6" t="s">
        <v>559</v>
      </c>
      <c r="N20" s="6" t="s">
        <v>560</v>
      </c>
      <c r="O20" s="18">
        <v>3</v>
      </c>
      <c r="P20" s="31" t="s">
        <v>401</v>
      </c>
      <c r="Q20" s="6" t="s">
        <v>561</v>
      </c>
    </row>
    <row r="21" spans="1:17" ht="117.75" customHeight="1" x14ac:dyDescent="0.3">
      <c r="A21" s="7">
        <v>9</v>
      </c>
      <c r="B21" s="17">
        <v>46333</v>
      </c>
      <c r="C21" s="7" t="str">
        <f t="shared" si="0"/>
        <v>Sat</v>
      </c>
      <c r="D21" s="6" t="s">
        <v>464</v>
      </c>
      <c r="E21" s="6" t="s">
        <v>562</v>
      </c>
      <c r="F21" s="30" t="s">
        <v>563</v>
      </c>
      <c r="G21" s="30" t="s">
        <v>394</v>
      </c>
      <c r="H21" s="6" t="s">
        <v>564</v>
      </c>
      <c r="I21" s="6" t="s">
        <v>565</v>
      </c>
      <c r="J21" s="30" t="s">
        <v>516</v>
      </c>
      <c r="K21" s="30" t="s">
        <v>394</v>
      </c>
      <c r="L21" s="30" t="s">
        <v>517</v>
      </c>
      <c r="M21" s="6" t="s">
        <v>566</v>
      </c>
      <c r="N21" s="6" t="s">
        <v>567</v>
      </c>
      <c r="O21" s="18">
        <v>3</v>
      </c>
      <c r="P21" s="31" t="s">
        <v>401</v>
      </c>
      <c r="Q21" s="6"/>
    </row>
    <row r="22" spans="1:17" ht="117.75" customHeight="1" x14ac:dyDescent="0.3">
      <c r="A22" s="7">
        <v>10</v>
      </c>
      <c r="B22" s="17">
        <v>46335</v>
      </c>
      <c r="C22" s="7" t="str">
        <f t="shared" si="0"/>
        <v>Mon</v>
      </c>
      <c r="D22" s="6" t="s">
        <v>470</v>
      </c>
      <c r="E22" s="6" t="s">
        <v>568</v>
      </c>
      <c r="F22" s="30" t="s">
        <v>563</v>
      </c>
      <c r="G22" s="30" t="s">
        <v>394</v>
      </c>
      <c r="H22" s="6" t="s">
        <v>569</v>
      </c>
      <c r="I22" s="6" t="s">
        <v>570</v>
      </c>
      <c r="J22" s="30" t="s">
        <v>516</v>
      </c>
      <c r="K22" s="30" t="s">
        <v>394</v>
      </c>
      <c r="L22" s="30" t="s">
        <v>517</v>
      </c>
      <c r="M22" s="6" t="s">
        <v>571</v>
      </c>
      <c r="N22" s="6" t="s">
        <v>572</v>
      </c>
      <c r="O22" s="18">
        <v>3</v>
      </c>
      <c r="P22" s="31" t="s">
        <v>401</v>
      </c>
      <c r="Q22" s="6"/>
    </row>
    <row r="23" spans="1:17" ht="117.75" customHeight="1" x14ac:dyDescent="0.3">
      <c r="A23" s="7">
        <v>11</v>
      </c>
      <c r="B23" s="17">
        <v>46336</v>
      </c>
      <c r="C23" s="7" t="str">
        <f t="shared" si="0"/>
        <v>Tue</v>
      </c>
      <c r="D23" s="6" t="s">
        <v>476</v>
      </c>
      <c r="E23" s="6" t="s">
        <v>573</v>
      </c>
      <c r="F23" s="30" t="s">
        <v>563</v>
      </c>
      <c r="G23" s="30" t="s">
        <v>394</v>
      </c>
      <c r="H23" s="6" t="s">
        <v>574</v>
      </c>
      <c r="I23" s="6" t="s">
        <v>575</v>
      </c>
      <c r="J23" s="30" t="s">
        <v>516</v>
      </c>
      <c r="K23" s="30" t="s">
        <v>394</v>
      </c>
      <c r="L23" s="30" t="s">
        <v>517</v>
      </c>
      <c r="M23" s="6" t="s">
        <v>576</v>
      </c>
      <c r="N23" s="6" t="s">
        <v>577</v>
      </c>
      <c r="O23" s="18">
        <v>3</v>
      </c>
      <c r="P23" s="31" t="s">
        <v>401</v>
      </c>
      <c r="Q23" s="6"/>
    </row>
    <row r="24" spans="1:17" ht="117.75" customHeight="1" x14ac:dyDescent="0.3">
      <c r="A24" s="7">
        <v>12</v>
      </c>
      <c r="B24" s="17">
        <v>46337</v>
      </c>
      <c r="C24" s="7" t="str">
        <f t="shared" si="0"/>
        <v>Wed</v>
      </c>
      <c r="D24" s="6" t="s">
        <v>482</v>
      </c>
      <c r="E24" s="6" t="s">
        <v>578</v>
      </c>
      <c r="F24" s="30" t="s">
        <v>563</v>
      </c>
      <c r="G24" s="30" t="s">
        <v>394</v>
      </c>
      <c r="H24" s="6" t="s">
        <v>579</v>
      </c>
      <c r="I24" s="6" t="s">
        <v>580</v>
      </c>
      <c r="J24" s="30" t="s">
        <v>516</v>
      </c>
      <c r="K24" s="30" t="s">
        <v>394</v>
      </c>
      <c r="L24" s="30" t="s">
        <v>517</v>
      </c>
      <c r="M24" s="6" t="s">
        <v>576</v>
      </c>
      <c r="N24" s="6" t="s">
        <v>581</v>
      </c>
      <c r="O24" s="18">
        <v>3</v>
      </c>
      <c r="P24" s="31" t="s">
        <v>401</v>
      </c>
      <c r="Q24" s="6"/>
    </row>
    <row r="25" spans="1:17" ht="117.75" customHeight="1" x14ac:dyDescent="0.3">
      <c r="A25" s="7">
        <v>13</v>
      </c>
      <c r="B25" s="17">
        <v>46338</v>
      </c>
      <c r="C25" s="7" t="str">
        <f t="shared" si="0"/>
        <v>Thu</v>
      </c>
      <c r="D25" s="6" t="s">
        <v>489</v>
      </c>
      <c r="E25" s="6" t="s">
        <v>582</v>
      </c>
      <c r="F25" s="30" t="s">
        <v>563</v>
      </c>
      <c r="G25" s="30" t="s">
        <v>394</v>
      </c>
      <c r="H25" s="6" t="s">
        <v>583</v>
      </c>
      <c r="I25" s="6" t="s">
        <v>584</v>
      </c>
      <c r="J25" s="30" t="s">
        <v>516</v>
      </c>
      <c r="K25" s="30" t="s">
        <v>394</v>
      </c>
      <c r="L25" s="30" t="s">
        <v>517</v>
      </c>
      <c r="M25" s="6" t="s">
        <v>585</v>
      </c>
      <c r="N25" s="6" t="s">
        <v>586</v>
      </c>
      <c r="O25" s="18">
        <v>3</v>
      </c>
      <c r="P25" s="31" t="s">
        <v>401</v>
      </c>
      <c r="Q25" s="6"/>
    </row>
    <row r="26" spans="1:17" x14ac:dyDescent="0.3">
      <c r="N26" s="1" t="s">
        <v>428</v>
      </c>
      <c r="O26" s="27">
        <f>SUM(O13:O25)</f>
        <v>39</v>
      </c>
    </row>
  </sheetData>
  <mergeCells count="13">
    <mergeCell ref="A1:F1"/>
    <mergeCell ref="A6:C6"/>
    <mergeCell ref="D9:I9"/>
    <mergeCell ref="A9:C9"/>
    <mergeCell ref="D6:I6"/>
    <mergeCell ref="A7:C7"/>
    <mergeCell ref="D7:I7"/>
    <mergeCell ref="D8:I8"/>
    <mergeCell ref="A10:C10"/>
    <mergeCell ref="A2:F2"/>
    <mergeCell ref="A5:C5"/>
    <mergeCell ref="D5:I5"/>
    <mergeCell ref="A8:C8"/>
  </mergeCells>
  <conditionalFormatting sqref="P13:P25">
    <cfRule type="cellIs" dxfId="15" priority="2" operator="equal">
      <formula>"Done"</formula>
    </cfRule>
    <cfRule type="cellIs" dxfId="14" priority="3" operator="equal">
      <formula>"In Progress"</formula>
    </cfRule>
  </conditionalFormatting>
  <dataValidations count="1">
    <dataValidation type="list" allowBlank="1" sqref="P13:P25" xr:uid="{00000000-0002-0000-0500-000000000000}">
      <formula1>"Not Started,In Progress,Done"</formula1>
      <formula2>0</formula2>
    </dataValidation>
  </dataValidations>
  <hyperlinks>
    <hyperlink ref="D5" r:id="rId1" xr:uid="{00000000-0004-0000-0500-000000000000}"/>
    <hyperlink ref="D6" r:id="rId2" xr:uid="{00000000-0004-0000-0500-000001000000}"/>
    <hyperlink ref="D7" r:id="rId3" xr:uid="{00000000-0004-0000-0500-000002000000}"/>
    <hyperlink ref="D8" r:id="rId4" xr:uid="{00000000-0004-0000-0500-000003000000}"/>
    <hyperlink ref="D10" r:id="rId5" xr:uid="{00000000-0004-0000-0500-000004000000}"/>
    <hyperlink ref="E10" r:id="rId6" xr:uid="{00000000-0004-0000-0500-000005000000}"/>
    <hyperlink ref="F10" r:id="rId7" xr:uid="{00000000-0004-0000-0500-000006000000}"/>
    <hyperlink ref="G10" r:id="rId8" xr:uid="{00000000-0004-0000-0500-000007000000}"/>
    <hyperlink ref="H10" r:id="rId9" xr:uid="{00000000-0004-0000-0500-000008000000}"/>
    <hyperlink ref="F13" r:id="rId10" xr:uid="{00000000-0004-0000-0500-000009000000}"/>
    <hyperlink ref="G13" r:id="rId11" xr:uid="{00000000-0004-0000-0500-00000A000000}"/>
    <hyperlink ref="J13" r:id="rId12" xr:uid="{00000000-0004-0000-0500-00000B000000}"/>
    <hyperlink ref="K13" r:id="rId13" xr:uid="{00000000-0004-0000-0500-00000C000000}"/>
    <hyperlink ref="L13" r:id="rId14" xr:uid="{00000000-0004-0000-0500-00000D000000}"/>
    <hyperlink ref="F14" r:id="rId15" xr:uid="{00000000-0004-0000-0500-00000E000000}"/>
    <hyperlink ref="G14" r:id="rId16" xr:uid="{00000000-0004-0000-0500-00000F000000}"/>
    <hyperlink ref="J14" r:id="rId17" xr:uid="{00000000-0004-0000-0500-000010000000}"/>
    <hyperlink ref="K14" r:id="rId18" xr:uid="{00000000-0004-0000-0500-000011000000}"/>
    <hyperlink ref="L14" r:id="rId19" xr:uid="{00000000-0004-0000-0500-000012000000}"/>
    <hyperlink ref="F15" r:id="rId20" xr:uid="{00000000-0004-0000-0500-000013000000}"/>
    <hyperlink ref="G15" r:id="rId21" xr:uid="{00000000-0004-0000-0500-000014000000}"/>
    <hyperlink ref="J15" r:id="rId22" xr:uid="{00000000-0004-0000-0500-000015000000}"/>
    <hyperlink ref="K15" r:id="rId23" xr:uid="{00000000-0004-0000-0500-000016000000}"/>
    <hyperlink ref="L15" r:id="rId24" xr:uid="{00000000-0004-0000-0500-000017000000}"/>
    <hyperlink ref="F16" r:id="rId25" xr:uid="{00000000-0004-0000-0500-000018000000}"/>
    <hyperlink ref="G16" r:id="rId26" xr:uid="{00000000-0004-0000-0500-000019000000}"/>
    <hyperlink ref="J16" r:id="rId27" xr:uid="{00000000-0004-0000-0500-00001A000000}"/>
    <hyperlink ref="K16" r:id="rId28" xr:uid="{00000000-0004-0000-0500-00001B000000}"/>
    <hyperlink ref="L16" r:id="rId29" xr:uid="{00000000-0004-0000-0500-00001C000000}"/>
    <hyperlink ref="F17" r:id="rId30" xr:uid="{00000000-0004-0000-0500-00001D000000}"/>
    <hyperlink ref="G17" r:id="rId31" xr:uid="{00000000-0004-0000-0500-00001E000000}"/>
    <hyperlink ref="J17" r:id="rId32" xr:uid="{00000000-0004-0000-0500-00001F000000}"/>
    <hyperlink ref="K17" r:id="rId33" xr:uid="{00000000-0004-0000-0500-000020000000}"/>
    <hyperlink ref="L17" r:id="rId34" xr:uid="{00000000-0004-0000-0500-000021000000}"/>
    <hyperlink ref="F18" r:id="rId35" xr:uid="{00000000-0004-0000-0500-000022000000}"/>
    <hyperlink ref="G18" r:id="rId36" xr:uid="{00000000-0004-0000-0500-000023000000}"/>
    <hyperlink ref="J18" r:id="rId37" xr:uid="{00000000-0004-0000-0500-000024000000}"/>
    <hyperlink ref="K18" r:id="rId38" xr:uid="{00000000-0004-0000-0500-000025000000}"/>
    <hyperlink ref="L18" r:id="rId39" xr:uid="{00000000-0004-0000-0500-000026000000}"/>
    <hyperlink ref="F19" r:id="rId40" xr:uid="{00000000-0004-0000-0500-000027000000}"/>
    <hyperlink ref="G19" r:id="rId41" xr:uid="{00000000-0004-0000-0500-000028000000}"/>
    <hyperlink ref="J19" r:id="rId42" xr:uid="{00000000-0004-0000-0500-000029000000}"/>
    <hyperlink ref="K19" r:id="rId43" xr:uid="{00000000-0004-0000-0500-00002A000000}"/>
    <hyperlink ref="L19" r:id="rId44" xr:uid="{00000000-0004-0000-0500-00002B000000}"/>
    <hyperlink ref="F20" r:id="rId45" xr:uid="{00000000-0004-0000-0500-00002C000000}"/>
    <hyperlink ref="G20" r:id="rId46" xr:uid="{00000000-0004-0000-0500-00002D000000}"/>
    <hyperlink ref="J20" r:id="rId47" xr:uid="{00000000-0004-0000-0500-00002E000000}"/>
    <hyperlink ref="K20" r:id="rId48" xr:uid="{00000000-0004-0000-0500-00002F000000}"/>
    <hyperlink ref="L20" r:id="rId49" xr:uid="{00000000-0004-0000-0500-000030000000}"/>
    <hyperlink ref="F21" r:id="rId50" xr:uid="{00000000-0004-0000-0500-000031000000}"/>
    <hyperlink ref="G21" r:id="rId51" xr:uid="{00000000-0004-0000-0500-000032000000}"/>
    <hyperlink ref="J21" r:id="rId52" xr:uid="{00000000-0004-0000-0500-000033000000}"/>
    <hyperlink ref="K21" r:id="rId53" xr:uid="{00000000-0004-0000-0500-000034000000}"/>
    <hyperlink ref="L21" r:id="rId54" xr:uid="{00000000-0004-0000-0500-000035000000}"/>
    <hyperlink ref="F22" r:id="rId55" xr:uid="{00000000-0004-0000-0500-000036000000}"/>
    <hyperlink ref="G22" r:id="rId56" xr:uid="{00000000-0004-0000-0500-000037000000}"/>
    <hyperlink ref="J22" r:id="rId57" xr:uid="{00000000-0004-0000-0500-000038000000}"/>
    <hyperlink ref="K22" r:id="rId58" xr:uid="{00000000-0004-0000-0500-000039000000}"/>
    <hyperlink ref="L22" r:id="rId59" xr:uid="{00000000-0004-0000-0500-00003A000000}"/>
    <hyperlink ref="F23" r:id="rId60" xr:uid="{00000000-0004-0000-0500-00003B000000}"/>
    <hyperlink ref="G23" r:id="rId61" xr:uid="{00000000-0004-0000-0500-00003C000000}"/>
    <hyperlink ref="J23" r:id="rId62" xr:uid="{00000000-0004-0000-0500-00003D000000}"/>
    <hyperlink ref="K23" r:id="rId63" xr:uid="{00000000-0004-0000-0500-00003E000000}"/>
    <hyperlink ref="L23" r:id="rId64" xr:uid="{00000000-0004-0000-0500-00003F000000}"/>
    <hyperlink ref="F24" r:id="rId65" xr:uid="{00000000-0004-0000-0500-000040000000}"/>
    <hyperlink ref="G24" r:id="rId66" xr:uid="{00000000-0004-0000-0500-000041000000}"/>
    <hyperlink ref="J24" r:id="rId67" xr:uid="{00000000-0004-0000-0500-000042000000}"/>
    <hyperlink ref="K24" r:id="rId68" xr:uid="{00000000-0004-0000-0500-000043000000}"/>
    <hyperlink ref="L24" r:id="rId69" xr:uid="{00000000-0004-0000-0500-000044000000}"/>
    <hyperlink ref="F25" r:id="rId70" xr:uid="{00000000-0004-0000-0500-000045000000}"/>
    <hyperlink ref="G25" r:id="rId71" xr:uid="{00000000-0004-0000-0500-000046000000}"/>
    <hyperlink ref="J25" r:id="rId72" xr:uid="{00000000-0004-0000-0500-000047000000}"/>
    <hyperlink ref="K25" r:id="rId73" xr:uid="{00000000-0004-0000-0500-000048000000}"/>
    <hyperlink ref="L25" r:id="rId74" xr:uid="{00000000-0004-0000-0500-00004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1"/>
  <sheetViews>
    <sheetView zoomScaleNormal="100" workbookViewId="0">
      <pane xSplit="5" ySplit="13" topLeftCell="F15" activePane="bottomRight" state="frozen"/>
      <selection pane="topRight" activeCell="F1" sqref="F1"/>
      <selection pane="bottomLeft" activeCell="A14" sqref="A14"/>
      <selection pane="bottomRight" sqref="A1:F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0" customWidth="1"/>
    <col min="5" max="5" width="28" customWidth="1"/>
    <col min="6" max="6" width="38" customWidth="1"/>
    <col min="7" max="7" width="16" customWidth="1"/>
    <col min="8" max="8" width="28" customWidth="1"/>
    <col min="9" max="9" width="40" customWidth="1"/>
    <col min="10" max="10" width="38" customWidth="1"/>
    <col min="11" max="11" width="16" customWidth="1"/>
    <col min="12" max="12" width="38" customWidth="1"/>
    <col min="13" max="13" width="20" customWidth="1"/>
    <col min="14" max="14" width="32" customWidth="1"/>
    <col min="15" max="15" width="9" customWidth="1"/>
    <col min="16" max="16" width="13" customWidth="1"/>
    <col min="17" max="17" width="28" customWidth="1"/>
  </cols>
  <sheetData>
    <row r="1" spans="1:17" ht="17.399999999999999" customHeight="1" x14ac:dyDescent="0.3">
      <c r="A1" s="34" t="s">
        <v>587</v>
      </c>
      <c r="B1" s="33"/>
      <c r="C1" s="33"/>
      <c r="D1" s="33"/>
      <c r="E1" s="33"/>
      <c r="F1" s="33"/>
    </row>
    <row r="2" spans="1:17" x14ac:dyDescent="0.3">
      <c r="A2" s="32" t="s">
        <v>588</v>
      </c>
      <c r="B2" s="33"/>
      <c r="C2" s="33"/>
      <c r="D2" s="33"/>
      <c r="E2" s="33"/>
      <c r="F2" s="33"/>
    </row>
    <row r="4" spans="1:17" x14ac:dyDescent="0.3">
      <c r="A4" s="1" t="s">
        <v>363</v>
      </c>
    </row>
    <row r="5" spans="1:17" x14ac:dyDescent="0.3">
      <c r="A5" s="37" t="s">
        <v>364</v>
      </c>
      <c r="B5" s="33"/>
      <c r="C5" s="33"/>
      <c r="D5" s="38" t="s">
        <v>589</v>
      </c>
      <c r="E5" s="33"/>
      <c r="F5" s="33"/>
      <c r="G5" s="33"/>
      <c r="H5" s="33"/>
      <c r="I5" s="33"/>
    </row>
    <row r="6" spans="1:17" x14ac:dyDescent="0.3">
      <c r="A6" s="37" t="s">
        <v>366</v>
      </c>
      <c r="B6" s="33"/>
      <c r="C6" s="33"/>
      <c r="D6" s="38" t="s">
        <v>590</v>
      </c>
      <c r="E6" s="33"/>
      <c r="F6" s="33"/>
      <c r="G6" s="33"/>
      <c r="H6" s="33"/>
      <c r="I6" s="33"/>
    </row>
    <row r="7" spans="1:17" x14ac:dyDescent="0.3">
      <c r="A7" s="37" t="s">
        <v>432</v>
      </c>
      <c r="B7" s="33"/>
      <c r="C7" s="33"/>
      <c r="D7" s="38" t="s">
        <v>591</v>
      </c>
      <c r="E7" s="33"/>
      <c r="F7" s="33"/>
      <c r="G7" s="33"/>
      <c r="H7" s="33"/>
      <c r="I7" s="33"/>
    </row>
    <row r="8" spans="1:17" x14ac:dyDescent="0.3">
      <c r="A8" s="37" t="s">
        <v>432</v>
      </c>
      <c r="B8" s="33"/>
      <c r="C8" s="33"/>
      <c r="D8" s="38" t="s">
        <v>592</v>
      </c>
      <c r="E8" s="33"/>
      <c r="F8" s="33"/>
      <c r="G8" s="33"/>
      <c r="H8" s="33"/>
      <c r="I8" s="33"/>
    </row>
    <row r="9" spans="1:17" x14ac:dyDescent="0.3">
      <c r="A9" s="37" t="s">
        <v>368</v>
      </c>
      <c r="B9" s="33"/>
      <c r="C9" s="33"/>
      <c r="D9" s="38" t="s">
        <v>593</v>
      </c>
      <c r="E9" s="33"/>
      <c r="F9" s="33"/>
      <c r="G9" s="33"/>
      <c r="H9" s="33"/>
      <c r="I9" s="33"/>
    </row>
    <row r="10" spans="1:17" x14ac:dyDescent="0.3">
      <c r="A10" s="37" t="s">
        <v>370</v>
      </c>
      <c r="B10" s="33"/>
      <c r="C10" s="33"/>
      <c r="D10" s="39" t="s">
        <v>594</v>
      </c>
      <c r="E10" s="33"/>
      <c r="F10" s="33"/>
      <c r="G10" s="33"/>
      <c r="H10" s="33"/>
      <c r="I10" s="33"/>
    </row>
    <row r="11" spans="1:17" ht="22.8" customHeight="1" x14ac:dyDescent="0.3">
      <c r="A11" s="37" t="s">
        <v>372</v>
      </c>
      <c r="B11" s="33"/>
      <c r="C11" s="33"/>
      <c r="D11" s="29" t="s">
        <v>595</v>
      </c>
      <c r="E11" s="29" t="s">
        <v>39</v>
      </c>
      <c r="F11" s="29" t="s">
        <v>596</v>
      </c>
      <c r="G11" s="29" t="s">
        <v>597</v>
      </c>
      <c r="H11" s="29" t="s">
        <v>598</v>
      </c>
    </row>
    <row r="13" spans="1:17" ht="54" customHeight="1" x14ac:dyDescent="0.3">
      <c r="A13" s="5" t="s">
        <v>377</v>
      </c>
      <c r="B13" s="5" t="s">
        <v>190</v>
      </c>
      <c r="C13" s="5" t="s">
        <v>191</v>
      </c>
      <c r="D13" s="5" t="s">
        <v>378</v>
      </c>
      <c r="E13" s="5" t="s">
        <v>379</v>
      </c>
      <c r="F13" s="5" t="s">
        <v>380</v>
      </c>
      <c r="G13" s="5" t="s">
        <v>381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  <c r="M13" s="5" t="s">
        <v>370</v>
      </c>
      <c r="N13" s="5" t="s">
        <v>387</v>
      </c>
      <c r="O13" s="5" t="s">
        <v>388</v>
      </c>
      <c r="P13" s="5" t="s">
        <v>389</v>
      </c>
      <c r="Q13" s="5" t="s">
        <v>390</v>
      </c>
    </row>
    <row r="14" spans="1:17" ht="117.75" customHeight="1" x14ac:dyDescent="0.3">
      <c r="A14" s="7">
        <v>1</v>
      </c>
      <c r="B14" s="17">
        <v>46339</v>
      </c>
      <c r="C14" s="7" t="str">
        <f t="shared" ref="C14:C20" si="0">TEXT(B14,"ddd")</f>
        <v>Fri</v>
      </c>
      <c r="D14" s="6" t="s">
        <v>494</v>
      </c>
      <c r="E14" s="6" t="s">
        <v>599</v>
      </c>
      <c r="F14" s="30" t="s">
        <v>563</v>
      </c>
      <c r="G14" s="30" t="s">
        <v>394</v>
      </c>
      <c r="H14" s="6" t="s">
        <v>600</v>
      </c>
      <c r="I14" s="6" t="s">
        <v>601</v>
      </c>
      <c r="J14" s="30" t="s">
        <v>602</v>
      </c>
      <c r="K14" s="30" t="s">
        <v>394</v>
      </c>
      <c r="L14" s="30" t="s">
        <v>603</v>
      </c>
      <c r="M14" s="6" t="s">
        <v>604</v>
      </c>
      <c r="N14" s="6" t="s">
        <v>605</v>
      </c>
      <c r="O14" s="18">
        <v>3</v>
      </c>
      <c r="P14" s="31" t="s">
        <v>401</v>
      </c>
      <c r="Q14" s="6"/>
    </row>
    <row r="15" spans="1:17" ht="117.75" customHeight="1" x14ac:dyDescent="0.3">
      <c r="A15" s="7">
        <v>2</v>
      </c>
      <c r="B15" s="17">
        <v>46340</v>
      </c>
      <c r="C15" s="7" t="str">
        <f t="shared" si="0"/>
        <v>Sat</v>
      </c>
      <c r="D15" s="6" t="s">
        <v>512</v>
      </c>
      <c r="E15" s="6" t="s">
        <v>606</v>
      </c>
      <c r="F15" s="30" t="s">
        <v>563</v>
      </c>
      <c r="G15" s="30" t="s">
        <v>394</v>
      </c>
      <c r="H15" s="6" t="s">
        <v>607</v>
      </c>
      <c r="I15" s="6" t="s">
        <v>608</v>
      </c>
      <c r="J15" s="30" t="s">
        <v>602</v>
      </c>
      <c r="K15" s="30" t="s">
        <v>394</v>
      </c>
      <c r="L15" s="30" t="s">
        <v>603</v>
      </c>
      <c r="M15" s="6" t="s">
        <v>609</v>
      </c>
      <c r="N15" s="6" t="s">
        <v>610</v>
      </c>
      <c r="O15" s="18">
        <v>3</v>
      </c>
      <c r="P15" s="31" t="s">
        <v>401</v>
      </c>
      <c r="Q15" s="6" t="s">
        <v>611</v>
      </c>
    </row>
    <row r="16" spans="1:17" ht="117.75" customHeight="1" x14ac:dyDescent="0.3">
      <c r="A16" s="7">
        <v>3</v>
      </c>
      <c r="B16" s="17">
        <v>46342</v>
      </c>
      <c r="C16" s="7" t="str">
        <f t="shared" si="0"/>
        <v>Mon</v>
      </c>
      <c r="D16" s="6" t="s">
        <v>520</v>
      </c>
      <c r="E16" s="6" t="s">
        <v>612</v>
      </c>
      <c r="F16" s="30" t="s">
        <v>613</v>
      </c>
      <c r="G16" s="30" t="s">
        <v>394</v>
      </c>
      <c r="H16" s="6" t="s">
        <v>614</v>
      </c>
      <c r="I16" s="6" t="s">
        <v>615</v>
      </c>
      <c r="J16" s="30" t="s">
        <v>602</v>
      </c>
      <c r="K16" s="30" t="s">
        <v>394</v>
      </c>
      <c r="L16" s="30" t="s">
        <v>603</v>
      </c>
      <c r="M16" s="6" t="s">
        <v>616</v>
      </c>
      <c r="N16" s="6" t="s">
        <v>617</v>
      </c>
      <c r="O16" s="18">
        <v>3</v>
      </c>
      <c r="P16" s="31" t="s">
        <v>401</v>
      </c>
      <c r="Q16" s="6"/>
    </row>
    <row r="17" spans="1:17" ht="117.75" customHeight="1" x14ac:dyDescent="0.3">
      <c r="A17" s="7">
        <v>4</v>
      </c>
      <c r="B17" s="17">
        <v>46343</v>
      </c>
      <c r="C17" s="7" t="str">
        <f t="shared" si="0"/>
        <v>Tue</v>
      </c>
      <c r="D17" s="6" t="s">
        <v>526</v>
      </c>
      <c r="E17" s="6" t="s">
        <v>618</v>
      </c>
      <c r="F17" s="30" t="s">
        <v>613</v>
      </c>
      <c r="G17" s="30" t="s">
        <v>394</v>
      </c>
      <c r="H17" s="6" t="s">
        <v>619</v>
      </c>
      <c r="I17" s="6" t="s">
        <v>620</v>
      </c>
      <c r="J17" s="30" t="s">
        <v>602</v>
      </c>
      <c r="K17" s="30" t="s">
        <v>394</v>
      </c>
      <c r="L17" s="30" t="s">
        <v>603</v>
      </c>
      <c r="M17" s="6" t="s">
        <v>621</v>
      </c>
      <c r="N17" s="6" t="s">
        <v>622</v>
      </c>
      <c r="O17" s="18">
        <v>3</v>
      </c>
      <c r="P17" s="31" t="s">
        <v>401</v>
      </c>
      <c r="Q17" s="6"/>
    </row>
    <row r="18" spans="1:17" ht="117.75" customHeight="1" x14ac:dyDescent="0.3">
      <c r="A18" s="7">
        <v>5</v>
      </c>
      <c r="B18" s="17">
        <v>46344</v>
      </c>
      <c r="C18" s="7" t="str">
        <f t="shared" si="0"/>
        <v>Wed</v>
      </c>
      <c r="D18" s="6" t="s">
        <v>532</v>
      </c>
      <c r="E18" s="6" t="s">
        <v>623</v>
      </c>
      <c r="F18" s="30" t="s">
        <v>613</v>
      </c>
      <c r="G18" s="30" t="s">
        <v>394</v>
      </c>
      <c r="H18" s="6" t="s">
        <v>624</v>
      </c>
      <c r="I18" s="6" t="s">
        <v>625</v>
      </c>
      <c r="J18" s="30" t="s">
        <v>602</v>
      </c>
      <c r="K18" s="30" t="s">
        <v>394</v>
      </c>
      <c r="L18" s="30" t="s">
        <v>603</v>
      </c>
      <c r="M18" s="6" t="s">
        <v>626</v>
      </c>
      <c r="N18" s="6" t="s">
        <v>627</v>
      </c>
      <c r="O18" s="18">
        <v>3</v>
      </c>
      <c r="P18" s="31" t="s">
        <v>401</v>
      </c>
      <c r="Q18" s="6"/>
    </row>
    <row r="19" spans="1:17" ht="117.75" customHeight="1" x14ac:dyDescent="0.3">
      <c r="A19" s="7">
        <v>6</v>
      </c>
      <c r="B19" s="17">
        <v>46345</v>
      </c>
      <c r="C19" s="7" t="str">
        <f t="shared" si="0"/>
        <v>Thu</v>
      </c>
      <c r="D19" s="6" t="s">
        <v>538</v>
      </c>
      <c r="E19" s="6" t="s">
        <v>628</v>
      </c>
      <c r="F19" s="30" t="s">
        <v>613</v>
      </c>
      <c r="G19" s="30" t="s">
        <v>394</v>
      </c>
      <c r="H19" s="6" t="s">
        <v>629</v>
      </c>
      <c r="I19" s="6" t="s">
        <v>630</v>
      </c>
      <c r="J19" s="30" t="s">
        <v>602</v>
      </c>
      <c r="K19" s="30" t="s">
        <v>394</v>
      </c>
      <c r="L19" s="30" t="s">
        <v>631</v>
      </c>
      <c r="M19" s="6" t="s">
        <v>632</v>
      </c>
      <c r="N19" s="6" t="s">
        <v>633</v>
      </c>
      <c r="O19" s="18">
        <v>3</v>
      </c>
      <c r="P19" s="31" t="s">
        <v>401</v>
      </c>
      <c r="Q19" s="6"/>
    </row>
    <row r="20" spans="1:17" ht="117.75" customHeight="1" x14ac:dyDescent="0.3">
      <c r="A20" s="7">
        <v>7</v>
      </c>
      <c r="B20" s="17">
        <v>46346</v>
      </c>
      <c r="C20" s="7" t="str">
        <f t="shared" si="0"/>
        <v>Fri</v>
      </c>
      <c r="D20" s="6" t="s">
        <v>441</v>
      </c>
      <c r="E20" s="6" t="s">
        <v>634</v>
      </c>
      <c r="F20" s="30" t="s">
        <v>613</v>
      </c>
      <c r="G20" s="30" t="s">
        <v>394</v>
      </c>
      <c r="H20" s="6" t="s">
        <v>635</v>
      </c>
      <c r="I20" s="6" t="s">
        <v>636</v>
      </c>
      <c r="J20" s="30" t="s">
        <v>602</v>
      </c>
      <c r="K20" s="30" t="s">
        <v>394</v>
      </c>
      <c r="L20" s="30" t="s">
        <v>631</v>
      </c>
      <c r="M20" s="6" t="s">
        <v>637</v>
      </c>
      <c r="N20" s="6" t="s">
        <v>638</v>
      </c>
      <c r="O20" s="18">
        <v>3</v>
      </c>
      <c r="P20" s="31" t="s">
        <v>401</v>
      </c>
      <c r="Q20" s="6"/>
    </row>
    <row r="21" spans="1:17" x14ac:dyDescent="0.3">
      <c r="N21" s="1" t="s">
        <v>428</v>
      </c>
      <c r="O21" s="27">
        <f>SUM(O14:O20)</f>
        <v>21</v>
      </c>
    </row>
  </sheetData>
  <mergeCells count="15">
    <mergeCell ref="A1:F1"/>
    <mergeCell ref="A6:C6"/>
    <mergeCell ref="D9:I9"/>
    <mergeCell ref="A9:C9"/>
    <mergeCell ref="D6:I6"/>
    <mergeCell ref="A7:C7"/>
    <mergeCell ref="D7:I7"/>
    <mergeCell ref="D8:I8"/>
    <mergeCell ref="A10:C10"/>
    <mergeCell ref="A2:F2"/>
    <mergeCell ref="D10:I10"/>
    <mergeCell ref="A11:C11"/>
    <mergeCell ref="A5:C5"/>
    <mergeCell ref="D5:I5"/>
    <mergeCell ref="A8:C8"/>
  </mergeCells>
  <conditionalFormatting sqref="P14:P20">
    <cfRule type="cellIs" dxfId="13" priority="2" operator="equal">
      <formula>"Done"</formula>
    </cfRule>
    <cfRule type="cellIs" dxfId="12" priority="3" operator="equal">
      <formula>"In Progress"</formula>
    </cfRule>
  </conditionalFormatting>
  <dataValidations count="1">
    <dataValidation type="list" allowBlank="1" sqref="P14:P20" xr:uid="{00000000-0002-0000-0600-000000000000}">
      <formula1>"Not Started,In Progress,Done"</formula1>
      <formula2>0</formula2>
    </dataValidation>
  </dataValidations>
  <hyperlinks>
    <hyperlink ref="D5" r:id="rId1" xr:uid="{00000000-0004-0000-0600-000000000000}"/>
    <hyperlink ref="D6" r:id="rId2" xr:uid="{00000000-0004-0000-0600-000001000000}"/>
    <hyperlink ref="D7" r:id="rId3" xr:uid="{00000000-0004-0000-0600-000002000000}"/>
    <hyperlink ref="D8" r:id="rId4" xr:uid="{00000000-0004-0000-0600-000003000000}"/>
    <hyperlink ref="D9" r:id="rId5" xr:uid="{00000000-0004-0000-0600-000004000000}"/>
    <hyperlink ref="D11" r:id="rId6" xr:uid="{00000000-0004-0000-0600-000005000000}"/>
    <hyperlink ref="E11" r:id="rId7" xr:uid="{00000000-0004-0000-0600-000006000000}"/>
    <hyperlink ref="F11" r:id="rId8" xr:uid="{00000000-0004-0000-0600-000007000000}"/>
    <hyperlink ref="G11" r:id="rId9" xr:uid="{00000000-0004-0000-0600-000008000000}"/>
    <hyperlink ref="H11" r:id="rId10" xr:uid="{00000000-0004-0000-0600-000009000000}"/>
    <hyperlink ref="F14" r:id="rId11" xr:uid="{00000000-0004-0000-0600-00000A000000}"/>
    <hyperlink ref="G14" r:id="rId12" xr:uid="{00000000-0004-0000-0600-00000B000000}"/>
    <hyperlink ref="J14" r:id="rId13" xr:uid="{00000000-0004-0000-0600-00000C000000}"/>
    <hyperlink ref="K14" r:id="rId14" xr:uid="{00000000-0004-0000-0600-00000D000000}"/>
    <hyperlink ref="L14" r:id="rId15" xr:uid="{00000000-0004-0000-0600-00000E000000}"/>
    <hyperlink ref="F15" r:id="rId16" xr:uid="{00000000-0004-0000-0600-00000F000000}"/>
    <hyperlink ref="G15" r:id="rId17" xr:uid="{00000000-0004-0000-0600-000010000000}"/>
    <hyperlink ref="J15" r:id="rId18" xr:uid="{00000000-0004-0000-0600-000011000000}"/>
    <hyperlink ref="K15" r:id="rId19" xr:uid="{00000000-0004-0000-0600-000012000000}"/>
    <hyperlink ref="L15" r:id="rId20" xr:uid="{00000000-0004-0000-0600-000013000000}"/>
    <hyperlink ref="F16" r:id="rId21" xr:uid="{00000000-0004-0000-0600-000014000000}"/>
    <hyperlink ref="G16" r:id="rId22" xr:uid="{00000000-0004-0000-0600-000015000000}"/>
    <hyperlink ref="J16" r:id="rId23" xr:uid="{00000000-0004-0000-0600-000016000000}"/>
    <hyperlink ref="K16" r:id="rId24" xr:uid="{00000000-0004-0000-0600-000017000000}"/>
    <hyperlink ref="L16" r:id="rId25" xr:uid="{00000000-0004-0000-0600-000018000000}"/>
    <hyperlink ref="F17" r:id="rId26" xr:uid="{00000000-0004-0000-0600-000019000000}"/>
    <hyperlink ref="G17" r:id="rId27" xr:uid="{00000000-0004-0000-0600-00001A000000}"/>
    <hyperlink ref="J17" r:id="rId28" xr:uid="{00000000-0004-0000-0600-00001B000000}"/>
    <hyperlink ref="K17" r:id="rId29" xr:uid="{00000000-0004-0000-0600-00001C000000}"/>
    <hyperlink ref="L17" r:id="rId30" xr:uid="{00000000-0004-0000-0600-00001D000000}"/>
    <hyperlink ref="F18" r:id="rId31" xr:uid="{00000000-0004-0000-0600-00001E000000}"/>
    <hyperlink ref="G18" r:id="rId32" xr:uid="{00000000-0004-0000-0600-00001F000000}"/>
    <hyperlink ref="J18" r:id="rId33" xr:uid="{00000000-0004-0000-0600-000020000000}"/>
    <hyperlink ref="K18" r:id="rId34" xr:uid="{00000000-0004-0000-0600-000021000000}"/>
    <hyperlink ref="L18" r:id="rId35" xr:uid="{00000000-0004-0000-0600-000022000000}"/>
    <hyperlink ref="F19" r:id="rId36" xr:uid="{00000000-0004-0000-0600-000023000000}"/>
    <hyperlink ref="G19" r:id="rId37" xr:uid="{00000000-0004-0000-0600-000024000000}"/>
    <hyperlink ref="J19" r:id="rId38" xr:uid="{00000000-0004-0000-0600-000025000000}"/>
    <hyperlink ref="K19" r:id="rId39" xr:uid="{00000000-0004-0000-0600-000026000000}"/>
    <hyperlink ref="L19" r:id="rId40" display="Compiler Design : Intermediate Code &amp; Code Optimization | Local Optimization | Dataflow Analysis | Liveness Analysis  ·  GO Classes for GATE CS (instructor not named in playlist)  +  Compiler Design (GO Classes – GATE PYQs &amp; revision)  ·  GO Classes for GATE CS (instructor not named in playlist)" xr:uid="{00000000-0004-0000-0600-000027000000}"/>
    <hyperlink ref="F20" r:id="rId41" xr:uid="{00000000-0004-0000-0600-000028000000}"/>
    <hyperlink ref="G20" r:id="rId42" xr:uid="{00000000-0004-0000-0600-000029000000}"/>
    <hyperlink ref="J20" r:id="rId43" xr:uid="{00000000-0004-0000-0600-00002A000000}"/>
    <hyperlink ref="K20" r:id="rId44" xr:uid="{00000000-0004-0000-0600-00002B000000}"/>
    <hyperlink ref="L20" r:id="rId45" display="Compiler Design : Intermediate Code &amp; Code Optimization | Local Optimization | Dataflow Analysis | Liveness Analysis  ·  GO Classes for GATE CS (instructor not named in playlist)  +  Compiler Design (GO Classes – GATE PYQs &amp; revision)  ·  GO Classes for GATE CS (instructor not named in playlist)" xr:uid="{00000000-0004-0000-0600-00002C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sqref="A1:F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0" customWidth="1"/>
    <col min="5" max="5" width="28" customWidth="1"/>
    <col min="6" max="6" width="38" customWidth="1"/>
    <col min="7" max="7" width="16" customWidth="1"/>
    <col min="8" max="8" width="28" customWidth="1"/>
    <col min="9" max="9" width="40" customWidth="1"/>
    <col min="10" max="10" width="38" customWidth="1"/>
    <col min="11" max="11" width="16" customWidth="1"/>
    <col min="12" max="12" width="38" customWidth="1"/>
    <col min="13" max="13" width="20" customWidth="1"/>
    <col min="14" max="14" width="32" customWidth="1"/>
    <col min="15" max="15" width="9" customWidth="1"/>
    <col min="16" max="16" width="13" customWidth="1"/>
    <col min="17" max="17" width="28" customWidth="1"/>
  </cols>
  <sheetData>
    <row r="1" spans="1:17" ht="17.399999999999999" customHeight="1" x14ac:dyDescent="0.3">
      <c r="A1" s="34" t="s">
        <v>639</v>
      </c>
      <c r="B1" s="33"/>
      <c r="C1" s="33"/>
      <c r="D1" s="33"/>
      <c r="E1" s="33"/>
      <c r="F1" s="33"/>
    </row>
    <row r="2" spans="1:17" x14ac:dyDescent="0.3">
      <c r="A2" s="32" t="s">
        <v>640</v>
      </c>
      <c r="B2" s="33"/>
      <c r="C2" s="33"/>
      <c r="D2" s="33"/>
      <c r="E2" s="33"/>
      <c r="F2" s="33"/>
    </row>
    <row r="4" spans="1:17" x14ac:dyDescent="0.3">
      <c r="A4" s="1" t="s">
        <v>363</v>
      </c>
    </row>
    <row r="5" spans="1:17" x14ac:dyDescent="0.3">
      <c r="A5" s="37" t="s">
        <v>364</v>
      </c>
      <c r="B5" s="33"/>
      <c r="C5" s="33"/>
      <c r="D5" s="38" t="s">
        <v>641</v>
      </c>
      <c r="E5" s="33"/>
      <c r="F5" s="33"/>
      <c r="G5" s="33"/>
      <c r="H5" s="33"/>
      <c r="I5" s="33"/>
    </row>
    <row r="6" spans="1:17" x14ac:dyDescent="0.3">
      <c r="A6" s="37" t="s">
        <v>366</v>
      </c>
      <c r="B6" s="33"/>
      <c r="C6" s="33"/>
      <c r="D6" s="38" t="s">
        <v>642</v>
      </c>
      <c r="E6" s="33"/>
      <c r="F6" s="33"/>
      <c r="G6" s="33"/>
      <c r="H6" s="33"/>
      <c r="I6" s="33"/>
    </row>
    <row r="7" spans="1:17" x14ac:dyDescent="0.3">
      <c r="A7" s="37" t="s">
        <v>432</v>
      </c>
      <c r="B7" s="33"/>
      <c r="C7" s="33"/>
      <c r="D7" s="38" t="s">
        <v>643</v>
      </c>
      <c r="E7" s="33"/>
      <c r="F7" s="33"/>
      <c r="G7" s="33"/>
      <c r="H7" s="33"/>
      <c r="I7" s="33"/>
    </row>
    <row r="8" spans="1:17" x14ac:dyDescent="0.3">
      <c r="A8" s="37" t="s">
        <v>368</v>
      </c>
      <c r="B8" s="33"/>
      <c r="C8" s="33"/>
      <c r="D8" s="38" t="s">
        <v>644</v>
      </c>
      <c r="E8" s="33"/>
      <c r="F8" s="33"/>
      <c r="G8" s="33"/>
      <c r="H8" s="33"/>
      <c r="I8" s="33"/>
    </row>
    <row r="9" spans="1:17" x14ac:dyDescent="0.3">
      <c r="A9" s="37" t="s">
        <v>370</v>
      </c>
      <c r="B9" s="33"/>
      <c r="C9" s="33"/>
      <c r="D9" s="39" t="s">
        <v>645</v>
      </c>
      <c r="E9" s="33"/>
      <c r="F9" s="33"/>
      <c r="G9" s="33"/>
      <c r="H9" s="33"/>
      <c r="I9" s="33"/>
    </row>
    <row r="10" spans="1:17" ht="22.8" customHeight="1" x14ac:dyDescent="0.3">
      <c r="A10" s="37" t="s">
        <v>372</v>
      </c>
      <c r="B10" s="33"/>
      <c r="C10" s="33"/>
      <c r="D10" s="29" t="s">
        <v>646</v>
      </c>
      <c r="E10" s="29" t="s">
        <v>647</v>
      </c>
      <c r="F10" s="29" t="s">
        <v>648</v>
      </c>
      <c r="G10" s="29" t="s">
        <v>649</v>
      </c>
    </row>
    <row r="12" spans="1:17" ht="54" customHeight="1" x14ac:dyDescent="0.3">
      <c r="A12" s="5" t="s">
        <v>377</v>
      </c>
      <c r="B12" s="5" t="s">
        <v>190</v>
      </c>
      <c r="C12" s="5" t="s">
        <v>191</v>
      </c>
      <c r="D12" s="5" t="s">
        <v>378</v>
      </c>
      <c r="E12" s="5" t="s">
        <v>379</v>
      </c>
      <c r="F12" s="5" t="s">
        <v>380</v>
      </c>
      <c r="G12" s="5" t="s">
        <v>381</v>
      </c>
      <c r="H12" s="5" t="s">
        <v>382</v>
      </c>
      <c r="I12" s="5" t="s">
        <v>383</v>
      </c>
      <c r="J12" s="5" t="s">
        <v>384</v>
      </c>
      <c r="K12" s="5" t="s">
        <v>385</v>
      </c>
      <c r="L12" s="5" t="s">
        <v>386</v>
      </c>
      <c r="M12" s="5" t="s">
        <v>370</v>
      </c>
      <c r="N12" s="5" t="s">
        <v>387</v>
      </c>
      <c r="O12" s="5" t="s">
        <v>388</v>
      </c>
      <c r="P12" s="5" t="s">
        <v>389</v>
      </c>
      <c r="Q12" s="5" t="s">
        <v>390</v>
      </c>
    </row>
    <row r="13" spans="1:17" ht="117.75" customHeight="1" x14ac:dyDescent="0.3">
      <c r="A13" s="7">
        <v>1</v>
      </c>
      <c r="B13" s="17">
        <v>46347</v>
      </c>
      <c r="C13" s="7" t="str">
        <f t="shared" ref="C13:C22" si="0">TEXT(B13,"ddd")</f>
        <v>Sat</v>
      </c>
      <c r="D13" s="6" t="s">
        <v>450</v>
      </c>
      <c r="E13" s="6" t="s">
        <v>650</v>
      </c>
      <c r="F13" s="30" t="s">
        <v>613</v>
      </c>
      <c r="G13" s="30" t="s">
        <v>394</v>
      </c>
      <c r="H13" s="6" t="s">
        <v>651</v>
      </c>
      <c r="I13" s="6" t="s">
        <v>652</v>
      </c>
      <c r="J13" s="30" t="s">
        <v>653</v>
      </c>
      <c r="K13" s="30" t="s">
        <v>394</v>
      </c>
      <c r="L13" s="30" t="s">
        <v>654</v>
      </c>
      <c r="M13" s="6" t="s">
        <v>655</v>
      </c>
      <c r="N13" s="6" t="s">
        <v>656</v>
      </c>
      <c r="O13" s="18">
        <v>3</v>
      </c>
      <c r="P13" s="31" t="s">
        <v>401</v>
      </c>
      <c r="Q13" s="6"/>
    </row>
    <row r="14" spans="1:17" ht="117.75" customHeight="1" x14ac:dyDescent="0.3">
      <c r="A14" s="7">
        <v>2</v>
      </c>
      <c r="B14" s="17">
        <v>46349</v>
      </c>
      <c r="C14" s="7" t="str">
        <f t="shared" si="0"/>
        <v>Mon</v>
      </c>
      <c r="D14" s="6" t="s">
        <v>457</v>
      </c>
      <c r="E14" s="6" t="s">
        <v>657</v>
      </c>
      <c r="F14" s="30" t="s">
        <v>613</v>
      </c>
      <c r="G14" s="30" t="s">
        <v>394</v>
      </c>
      <c r="H14" s="6" t="s">
        <v>658</v>
      </c>
      <c r="I14" s="6" t="s">
        <v>659</v>
      </c>
      <c r="J14" s="30" t="s">
        <v>653</v>
      </c>
      <c r="K14" s="30" t="s">
        <v>394</v>
      </c>
      <c r="L14" s="30" t="s">
        <v>654</v>
      </c>
      <c r="M14" s="6" t="s">
        <v>660</v>
      </c>
      <c r="N14" s="6" t="s">
        <v>661</v>
      </c>
      <c r="O14" s="18">
        <v>3</v>
      </c>
      <c r="P14" s="31" t="s">
        <v>401</v>
      </c>
      <c r="Q14" s="6"/>
    </row>
    <row r="15" spans="1:17" ht="117.75" customHeight="1" x14ac:dyDescent="0.3">
      <c r="A15" s="7">
        <v>3</v>
      </c>
      <c r="B15" s="17">
        <v>46350</v>
      </c>
      <c r="C15" s="7" t="str">
        <f t="shared" si="0"/>
        <v>Tue</v>
      </c>
      <c r="D15" s="6" t="s">
        <v>464</v>
      </c>
      <c r="E15" s="6" t="s">
        <v>662</v>
      </c>
      <c r="F15" s="30" t="s">
        <v>613</v>
      </c>
      <c r="G15" s="30" t="s">
        <v>394</v>
      </c>
      <c r="H15" s="6" t="s">
        <v>663</v>
      </c>
      <c r="I15" s="6" t="s">
        <v>664</v>
      </c>
      <c r="J15" s="30" t="s">
        <v>653</v>
      </c>
      <c r="K15" s="30" t="s">
        <v>394</v>
      </c>
      <c r="L15" s="30" t="s">
        <v>654</v>
      </c>
      <c r="M15" s="6" t="s">
        <v>665</v>
      </c>
      <c r="N15" s="6" t="s">
        <v>666</v>
      </c>
      <c r="O15" s="18">
        <v>3</v>
      </c>
      <c r="P15" s="31" t="s">
        <v>401</v>
      </c>
      <c r="Q15" s="6"/>
    </row>
    <row r="16" spans="1:17" ht="117.75" customHeight="1" x14ac:dyDescent="0.3">
      <c r="A16" s="7">
        <v>4</v>
      </c>
      <c r="B16" s="17">
        <v>46351</v>
      </c>
      <c r="C16" s="7" t="str">
        <f t="shared" si="0"/>
        <v>Wed</v>
      </c>
      <c r="D16" s="6" t="s">
        <v>470</v>
      </c>
      <c r="E16" s="6" t="s">
        <v>667</v>
      </c>
      <c r="F16" s="30" t="s">
        <v>613</v>
      </c>
      <c r="G16" s="30" t="s">
        <v>394</v>
      </c>
      <c r="H16" s="6" t="s">
        <v>668</v>
      </c>
      <c r="I16" s="6" t="s">
        <v>669</v>
      </c>
      <c r="J16" s="30" t="s">
        <v>653</v>
      </c>
      <c r="K16" s="30" t="s">
        <v>394</v>
      </c>
      <c r="L16" s="30" t="s">
        <v>654</v>
      </c>
      <c r="M16" s="6" t="s">
        <v>670</v>
      </c>
      <c r="N16" s="6" t="s">
        <v>671</v>
      </c>
      <c r="O16" s="18">
        <v>3</v>
      </c>
      <c r="P16" s="31" t="s">
        <v>401</v>
      </c>
      <c r="Q16" s="6"/>
    </row>
    <row r="17" spans="1:17" ht="117.75" customHeight="1" x14ac:dyDescent="0.3">
      <c r="A17" s="7">
        <v>5</v>
      </c>
      <c r="B17" s="17">
        <v>46352</v>
      </c>
      <c r="C17" s="7" t="str">
        <f t="shared" si="0"/>
        <v>Thu</v>
      </c>
      <c r="D17" s="6" t="s">
        <v>476</v>
      </c>
      <c r="E17" s="6" t="s">
        <v>672</v>
      </c>
      <c r="F17" s="30" t="s">
        <v>613</v>
      </c>
      <c r="G17" s="30" t="s">
        <v>394</v>
      </c>
      <c r="H17" s="6" t="s">
        <v>673</v>
      </c>
      <c r="I17" s="6" t="s">
        <v>674</v>
      </c>
      <c r="J17" s="30" t="s">
        <v>653</v>
      </c>
      <c r="K17" s="30" t="s">
        <v>394</v>
      </c>
      <c r="L17" s="30" t="s">
        <v>654</v>
      </c>
      <c r="M17" s="6" t="s">
        <v>675</v>
      </c>
      <c r="N17" s="6" t="s">
        <v>676</v>
      </c>
      <c r="O17" s="18">
        <v>2.5</v>
      </c>
      <c r="P17" s="31" t="s">
        <v>401</v>
      </c>
      <c r="Q17" s="6"/>
    </row>
    <row r="18" spans="1:17" ht="117.75" customHeight="1" x14ac:dyDescent="0.3">
      <c r="A18" s="7">
        <v>6</v>
      </c>
      <c r="B18" s="17">
        <v>46353</v>
      </c>
      <c r="C18" s="7" t="str">
        <f t="shared" si="0"/>
        <v>Fri</v>
      </c>
      <c r="D18" s="6" t="s">
        <v>482</v>
      </c>
      <c r="E18" s="6" t="s">
        <v>677</v>
      </c>
      <c r="F18" s="30" t="s">
        <v>678</v>
      </c>
      <c r="G18" s="30" t="s">
        <v>394</v>
      </c>
      <c r="H18" s="6" t="s">
        <v>679</v>
      </c>
      <c r="I18" s="6" t="s">
        <v>680</v>
      </c>
      <c r="J18" s="30" t="s">
        <v>653</v>
      </c>
      <c r="K18" s="30" t="s">
        <v>394</v>
      </c>
      <c r="L18" s="30" t="s">
        <v>654</v>
      </c>
      <c r="M18" s="6" t="s">
        <v>681</v>
      </c>
      <c r="N18" s="6" t="s">
        <v>682</v>
      </c>
      <c r="O18" s="18">
        <v>2.5</v>
      </c>
      <c r="P18" s="31" t="s">
        <v>401</v>
      </c>
      <c r="Q18" s="6"/>
    </row>
    <row r="19" spans="1:17" ht="117.75" customHeight="1" x14ac:dyDescent="0.3">
      <c r="A19" s="7">
        <v>7</v>
      </c>
      <c r="B19" s="17">
        <v>46354</v>
      </c>
      <c r="C19" s="7" t="str">
        <f t="shared" si="0"/>
        <v>Sat</v>
      </c>
      <c r="D19" s="6" t="s">
        <v>489</v>
      </c>
      <c r="E19" s="6" t="s">
        <v>683</v>
      </c>
      <c r="F19" s="30" t="s">
        <v>613</v>
      </c>
      <c r="G19" s="30" t="s">
        <v>394</v>
      </c>
      <c r="H19" s="6" t="s">
        <v>684</v>
      </c>
      <c r="I19" s="6" t="s">
        <v>685</v>
      </c>
      <c r="J19" s="30" t="s">
        <v>653</v>
      </c>
      <c r="K19" s="30" t="s">
        <v>394</v>
      </c>
      <c r="L19" s="30" t="s">
        <v>654</v>
      </c>
      <c r="M19" s="6" t="s">
        <v>686</v>
      </c>
      <c r="N19" s="6" t="s">
        <v>687</v>
      </c>
      <c r="O19" s="18">
        <v>2.5</v>
      </c>
      <c r="P19" s="31" t="s">
        <v>401</v>
      </c>
      <c r="Q19" s="6" t="s">
        <v>688</v>
      </c>
    </row>
    <row r="20" spans="1:17" ht="117.75" customHeight="1" x14ac:dyDescent="0.3">
      <c r="A20" s="7">
        <v>8</v>
      </c>
      <c r="B20" s="17">
        <v>46356</v>
      </c>
      <c r="C20" s="7" t="str">
        <f t="shared" si="0"/>
        <v>Mon</v>
      </c>
      <c r="D20" s="6" t="s">
        <v>494</v>
      </c>
      <c r="E20" s="6" t="s">
        <v>689</v>
      </c>
      <c r="F20" s="30" t="s">
        <v>690</v>
      </c>
      <c r="G20" s="30" t="s">
        <v>394</v>
      </c>
      <c r="H20" s="6" t="s">
        <v>691</v>
      </c>
      <c r="I20" s="6" t="s">
        <v>692</v>
      </c>
      <c r="J20" s="30" t="s">
        <v>653</v>
      </c>
      <c r="K20" s="30" t="s">
        <v>394</v>
      </c>
      <c r="L20" s="30" t="s">
        <v>654</v>
      </c>
      <c r="M20" s="6" t="s">
        <v>693</v>
      </c>
      <c r="N20" s="6" t="s">
        <v>694</v>
      </c>
      <c r="O20" s="18">
        <v>2.5</v>
      </c>
      <c r="P20" s="31" t="s">
        <v>401</v>
      </c>
      <c r="Q20" s="6"/>
    </row>
    <row r="21" spans="1:17" ht="117.75" customHeight="1" x14ac:dyDescent="0.3">
      <c r="A21" s="7">
        <v>9</v>
      </c>
      <c r="B21" s="17">
        <v>46357</v>
      </c>
      <c r="C21" s="7" t="str">
        <f t="shared" si="0"/>
        <v>Tue</v>
      </c>
      <c r="D21" s="6" t="s">
        <v>512</v>
      </c>
      <c r="E21" s="6" t="s">
        <v>695</v>
      </c>
      <c r="F21" s="30" t="s">
        <v>690</v>
      </c>
      <c r="G21" s="30" t="s">
        <v>394</v>
      </c>
      <c r="H21" s="6" t="s">
        <v>696</v>
      </c>
      <c r="I21" s="6" t="s">
        <v>697</v>
      </c>
      <c r="J21" s="30" t="s">
        <v>653</v>
      </c>
      <c r="K21" s="30" t="s">
        <v>394</v>
      </c>
      <c r="L21" s="30" t="s">
        <v>654</v>
      </c>
      <c r="M21" s="6" t="s">
        <v>698</v>
      </c>
      <c r="N21" s="6" t="s">
        <v>699</v>
      </c>
      <c r="O21" s="18">
        <v>2.5</v>
      </c>
      <c r="P21" s="31" t="s">
        <v>401</v>
      </c>
      <c r="Q21" s="6"/>
    </row>
    <row r="22" spans="1:17" ht="117.75" customHeight="1" x14ac:dyDescent="0.3">
      <c r="A22" s="7">
        <v>10</v>
      </c>
      <c r="B22" s="17">
        <v>46358</v>
      </c>
      <c r="C22" s="7" t="str">
        <f t="shared" si="0"/>
        <v>Wed</v>
      </c>
      <c r="D22" s="6" t="s">
        <v>520</v>
      </c>
      <c r="E22" s="6" t="s">
        <v>700</v>
      </c>
      <c r="F22" s="30" t="s">
        <v>690</v>
      </c>
      <c r="G22" s="30" t="s">
        <v>394</v>
      </c>
      <c r="H22" s="6" t="s">
        <v>701</v>
      </c>
      <c r="I22" s="6" t="s">
        <v>702</v>
      </c>
      <c r="J22" s="30" t="s">
        <v>653</v>
      </c>
      <c r="K22" s="30" t="s">
        <v>394</v>
      </c>
      <c r="L22" s="30" t="s">
        <v>654</v>
      </c>
      <c r="M22" s="6" t="s">
        <v>703</v>
      </c>
      <c r="N22" s="6" t="s">
        <v>704</v>
      </c>
      <c r="O22" s="18">
        <v>2.5</v>
      </c>
      <c r="P22" s="31" t="s">
        <v>401</v>
      </c>
      <c r="Q22" s="6"/>
    </row>
    <row r="23" spans="1:17" x14ac:dyDescent="0.3">
      <c r="N23" s="1" t="s">
        <v>428</v>
      </c>
      <c r="O23" s="27">
        <f>SUM(O13:O22)</f>
        <v>27</v>
      </c>
    </row>
  </sheetData>
  <mergeCells count="13">
    <mergeCell ref="A1:F1"/>
    <mergeCell ref="A6:C6"/>
    <mergeCell ref="D9:I9"/>
    <mergeCell ref="A9:C9"/>
    <mergeCell ref="D6:I6"/>
    <mergeCell ref="A7:C7"/>
    <mergeCell ref="D7:I7"/>
    <mergeCell ref="D8:I8"/>
    <mergeCell ref="A10:C10"/>
    <mergeCell ref="A2:F2"/>
    <mergeCell ref="A5:C5"/>
    <mergeCell ref="D5:I5"/>
    <mergeCell ref="A8:C8"/>
  </mergeCells>
  <conditionalFormatting sqref="P13:P22">
    <cfRule type="cellIs" dxfId="11" priority="2" operator="equal">
      <formula>"Done"</formula>
    </cfRule>
    <cfRule type="cellIs" dxfId="10" priority="3" operator="equal">
      <formula>"In Progress"</formula>
    </cfRule>
  </conditionalFormatting>
  <dataValidations count="1">
    <dataValidation type="list" allowBlank="1" sqref="P13:P22" xr:uid="{00000000-0002-0000-0700-000000000000}">
      <formula1>"Not Started,In Progress,Done"</formula1>
      <formula2>0</formula2>
    </dataValidation>
  </dataValidations>
  <hyperlinks>
    <hyperlink ref="D5" r:id="rId1" xr:uid="{00000000-0004-0000-0700-000000000000}"/>
    <hyperlink ref="D6" r:id="rId2" xr:uid="{00000000-0004-0000-0700-000001000000}"/>
    <hyperlink ref="D7" r:id="rId3" xr:uid="{00000000-0004-0000-0700-000002000000}"/>
    <hyperlink ref="D8" r:id="rId4" xr:uid="{00000000-0004-0000-0700-000003000000}"/>
    <hyperlink ref="D10" r:id="rId5" xr:uid="{00000000-0004-0000-0700-000004000000}"/>
    <hyperlink ref="E10" r:id="rId6" xr:uid="{00000000-0004-0000-0700-000005000000}"/>
    <hyperlink ref="F10" r:id="rId7" xr:uid="{00000000-0004-0000-0700-000006000000}"/>
    <hyperlink ref="G10" r:id="rId8" xr:uid="{00000000-0004-0000-0700-000007000000}"/>
    <hyperlink ref="F13" r:id="rId9" xr:uid="{00000000-0004-0000-0700-000008000000}"/>
    <hyperlink ref="G13" r:id="rId10" xr:uid="{00000000-0004-0000-0700-000009000000}"/>
    <hyperlink ref="J13" r:id="rId11" xr:uid="{00000000-0004-0000-0700-00000A000000}"/>
    <hyperlink ref="K13" r:id="rId12" xr:uid="{00000000-0004-0000-0700-00000B000000}"/>
    <hyperlink ref="L13" r:id="rId13" xr:uid="{00000000-0004-0000-0700-00000C000000}"/>
    <hyperlink ref="F14" r:id="rId14" xr:uid="{00000000-0004-0000-0700-00000D000000}"/>
    <hyperlink ref="G14" r:id="rId15" xr:uid="{00000000-0004-0000-0700-00000E000000}"/>
    <hyperlink ref="J14" r:id="rId16" xr:uid="{00000000-0004-0000-0700-00000F000000}"/>
    <hyperlink ref="K14" r:id="rId17" xr:uid="{00000000-0004-0000-0700-000010000000}"/>
    <hyperlink ref="L14" r:id="rId18" xr:uid="{00000000-0004-0000-0700-000011000000}"/>
    <hyperlink ref="F15" r:id="rId19" xr:uid="{00000000-0004-0000-0700-000012000000}"/>
    <hyperlink ref="G15" r:id="rId20" xr:uid="{00000000-0004-0000-0700-000013000000}"/>
    <hyperlink ref="J15" r:id="rId21" xr:uid="{00000000-0004-0000-0700-000014000000}"/>
    <hyperlink ref="K15" r:id="rId22" xr:uid="{00000000-0004-0000-0700-000015000000}"/>
    <hyperlink ref="L15" r:id="rId23" xr:uid="{00000000-0004-0000-0700-000016000000}"/>
    <hyperlink ref="F16" r:id="rId24" xr:uid="{00000000-0004-0000-0700-000017000000}"/>
    <hyperlink ref="G16" r:id="rId25" xr:uid="{00000000-0004-0000-0700-000018000000}"/>
    <hyperlink ref="J16" r:id="rId26" xr:uid="{00000000-0004-0000-0700-000019000000}"/>
    <hyperlink ref="K16" r:id="rId27" xr:uid="{00000000-0004-0000-0700-00001A000000}"/>
    <hyperlink ref="L16" r:id="rId28" xr:uid="{00000000-0004-0000-0700-00001B000000}"/>
    <hyperlink ref="F17" r:id="rId29" xr:uid="{00000000-0004-0000-0700-00001C000000}"/>
    <hyperlink ref="G17" r:id="rId30" xr:uid="{00000000-0004-0000-0700-00001D000000}"/>
    <hyperlink ref="J17" r:id="rId31" xr:uid="{00000000-0004-0000-0700-00001E000000}"/>
    <hyperlink ref="K17" r:id="rId32" xr:uid="{00000000-0004-0000-0700-00001F000000}"/>
    <hyperlink ref="L17" r:id="rId33" xr:uid="{00000000-0004-0000-0700-000020000000}"/>
    <hyperlink ref="F18" r:id="rId34" xr:uid="{00000000-0004-0000-0700-000021000000}"/>
    <hyperlink ref="G18" r:id="rId35" xr:uid="{00000000-0004-0000-0700-000022000000}"/>
    <hyperlink ref="J18" r:id="rId36" xr:uid="{00000000-0004-0000-0700-000023000000}"/>
    <hyperlink ref="K18" r:id="rId37" xr:uid="{00000000-0004-0000-0700-000024000000}"/>
    <hyperlink ref="L18" r:id="rId38" xr:uid="{00000000-0004-0000-0700-000025000000}"/>
    <hyperlink ref="F19" r:id="rId39" xr:uid="{00000000-0004-0000-0700-000026000000}"/>
    <hyperlink ref="G19" r:id="rId40" xr:uid="{00000000-0004-0000-0700-000027000000}"/>
    <hyperlink ref="J19" r:id="rId41" xr:uid="{00000000-0004-0000-0700-000028000000}"/>
    <hyperlink ref="K19" r:id="rId42" xr:uid="{00000000-0004-0000-0700-000029000000}"/>
    <hyperlink ref="L19" r:id="rId43" xr:uid="{00000000-0004-0000-0700-00002A000000}"/>
    <hyperlink ref="F20" r:id="rId44" xr:uid="{00000000-0004-0000-0700-00002B000000}"/>
    <hyperlink ref="G20" r:id="rId45" xr:uid="{00000000-0004-0000-0700-00002C000000}"/>
    <hyperlink ref="J20" r:id="rId46" xr:uid="{00000000-0004-0000-0700-00002D000000}"/>
    <hyperlink ref="K20" r:id="rId47" xr:uid="{00000000-0004-0000-0700-00002E000000}"/>
    <hyperlink ref="L20" r:id="rId48" xr:uid="{00000000-0004-0000-0700-00002F000000}"/>
    <hyperlink ref="F21" r:id="rId49" xr:uid="{00000000-0004-0000-0700-000030000000}"/>
    <hyperlink ref="G21" r:id="rId50" xr:uid="{00000000-0004-0000-0700-000031000000}"/>
    <hyperlink ref="J21" r:id="rId51" xr:uid="{00000000-0004-0000-0700-000032000000}"/>
    <hyperlink ref="K21" r:id="rId52" xr:uid="{00000000-0004-0000-0700-000033000000}"/>
    <hyperlink ref="L21" r:id="rId53" xr:uid="{00000000-0004-0000-0700-000034000000}"/>
    <hyperlink ref="F22" r:id="rId54" xr:uid="{00000000-0004-0000-0700-000035000000}"/>
    <hyperlink ref="G22" r:id="rId55" xr:uid="{00000000-0004-0000-0700-000036000000}"/>
    <hyperlink ref="J22" r:id="rId56" xr:uid="{00000000-0004-0000-0700-000037000000}"/>
    <hyperlink ref="K22" r:id="rId57" xr:uid="{00000000-0004-0000-0700-000038000000}"/>
    <hyperlink ref="L22" r:id="rId58" xr:uid="{00000000-0004-0000-0700-00003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"/>
  <sheetViews>
    <sheetView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sqref="A1:F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0" customWidth="1"/>
    <col min="5" max="5" width="28" customWidth="1"/>
    <col min="6" max="6" width="38" customWidth="1"/>
    <col min="7" max="7" width="16" customWidth="1"/>
    <col min="8" max="8" width="28" customWidth="1"/>
    <col min="9" max="9" width="40" customWidth="1"/>
    <col min="10" max="10" width="38" customWidth="1"/>
    <col min="11" max="11" width="16" customWidth="1"/>
    <col min="12" max="12" width="38" customWidth="1"/>
    <col min="13" max="13" width="20" customWidth="1"/>
    <col min="14" max="14" width="32" customWidth="1"/>
    <col min="15" max="15" width="9" customWidth="1"/>
    <col min="16" max="16" width="13" customWidth="1"/>
    <col min="17" max="17" width="28" customWidth="1"/>
  </cols>
  <sheetData>
    <row r="1" spans="1:17" ht="17.399999999999999" customHeight="1" x14ac:dyDescent="0.3">
      <c r="A1" s="34" t="s">
        <v>705</v>
      </c>
      <c r="B1" s="33"/>
      <c r="C1" s="33"/>
      <c r="D1" s="33"/>
      <c r="E1" s="33"/>
      <c r="F1" s="33"/>
    </row>
    <row r="2" spans="1:17" x14ac:dyDescent="0.3">
      <c r="A2" s="32" t="s">
        <v>706</v>
      </c>
      <c r="B2" s="33"/>
      <c r="C2" s="33"/>
      <c r="D2" s="33"/>
      <c r="E2" s="33"/>
      <c r="F2" s="33"/>
    </row>
    <row r="4" spans="1:17" x14ac:dyDescent="0.3">
      <c r="A4" s="1" t="s">
        <v>363</v>
      </c>
    </row>
    <row r="5" spans="1:17" x14ac:dyDescent="0.3">
      <c r="A5" s="37" t="s">
        <v>364</v>
      </c>
      <c r="B5" s="33"/>
      <c r="C5" s="33"/>
      <c r="D5" s="38" t="s">
        <v>707</v>
      </c>
      <c r="E5" s="33"/>
      <c r="F5" s="33"/>
      <c r="G5" s="33"/>
      <c r="H5" s="33"/>
      <c r="I5" s="33"/>
    </row>
    <row r="6" spans="1:17" x14ac:dyDescent="0.3">
      <c r="A6" s="37" t="s">
        <v>366</v>
      </c>
      <c r="B6" s="33"/>
      <c r="C6" s="33"/>
      <c r="D6" s="38" t="s">
        <v>708</v>
      </c>
      <c r="E6" s="33"/>
      <c r="F6" s="33"/>
      <c r="G6" s="33"/>
      <c r="H6" s="33"/>
      <c r="I6" s="33"/>
    </row>
    <row r="7" spans="1:17" x14ac:dyDescent="0.3">
      <c r="A7" s="37" t="s">
        <v>432</v>
      </c>
      <c r="B7" s="33"/>
      <c r="C7" s="33"/>
      <c r="D7" s="38" t="s">
        <v>709</v>
      </c>
      <c r="E7" s="33"/>
      <c r="F7" s="33"/>
      <c r="G7" s="33"/>
      <c r="H7" s="33"/>
      <c r="I7" s="33"/>
    </row>
    <row r="8" spans="1:17" x14ac:dyDescent="0.3">
      <c r="A8" s="37" t="s">
        <v>368</v>
      </c>
      <c r="B8" s="33"/>
      <c r="C8" s="33"/>
      <c r="D8" s="38" t="s">
        <v>710</v>
      </c>
      <c r="E8" s="33"/>
      <c r="F8" s="33"/>
      <c r="G8" s="33"/>
      <c r="H8" s="33"/>
      <c r="I8" s="33"/>
    </row>
    <row r="9" spans="1:17" x14ac:dyDescent="0.3">
      <c r="A9" s="37" t="s">
        <v>370</v>
      </c>
      <c r="B9" s="33"/>
      <c r="C9" s="33"/>
      <c r="D9" s="39" t="s">
        <v>711</v>
      </c>
      <c r="E9" s="33"/>
      <c r="F9" s="33"/>
      <c r="G9" s="33"/>
      <c r="H9" s="33"/>
      <c r="I9" s="33"/>
    </row>
    <row r="10" spans="1:17" x14ac:dyDescent="0.3">
      <c r="A10" s="37" t="s">
        <v>372</v>
      </c>
      <c r="B10" s="33"/>
      <c r="C10" s="33"/>
      <c r="D10" s="29" t="s">
        <v>712</v>
      </c>
      <c r="E10" s="29" t="s">
        <v>713</v>
      </c>
      <c r="F10" s="29" t="s">
        <v>714</v>
      </c>
    </row>
    <row r="12" spans="1:17" ht="54" customHeight="1" x14ac:dyDescent="0.3">
      <c r="A12" s="5" t="s">
        <v>377</v>
      </c>
      <c r="B12" s="5" t="s">
        <v>190</v>
      </c>
      <c r="C12" s="5" t="s">
        <v>191</v>
      </c>
      <c r="D12" s="5" t="s">
        <v>378</v>
      </c>
      <c r="E12" s="5" t="s">
        <v>379</v>
      </c>
      <c r="F12" s="5" t="s">
        <v>380</v>
      </c>
      <c r="G12" s="5" t="s">
        <v>381</v>
      </c>
      <c r="H12" s="5" t="s">
        <v>382</v>
      </c>
      <c r="I12" s="5" t="s">
        <v>383</v>
      </c>
      <c r="J12" s="5" t="s">
        <v>384</v>
      </c>
      <c r="K12" s="5" t="s">
        <v>385</v>
      </c>
      <c r="L12" s="5" t="s">
        <v>386</v>
      </c>
      <c r="M12" s="5" t="s">
        <v>370</v>
      </c>
      <c r="N12" s="5" t="s">
        <v>387</v>
      </c>
      <c r="O12" s="5" t="s">
        <v>388</v>
      </c>
      <c r="P12" s="5" t="s">
        <v>389</v>
      </c>
      <c r="Q12" s="5" t="s">
        <v>390</v>
      </c>
    </row>
    <row r="13" spans="1:17" ht="117.75" customHeight="1" x14ac:dyDescent="0.3">
      <c r="A13" s="7">
        <v>1</v>
      </c>
      <c r="B13" s="17">
        <v>46359</v>
      </c>
      <c r="C13" s="7" t="str">
        <f t="shared" ref="C13:C20" si="0">TEXT(B13,"ddd")</f>
        <v>Thu</v>
      </c>
      <c r="D13" s="6" t="s">
        <v>526</v>
      </c>
      <c r="E13" s="6" t="s">
        <v>715</v>
      </c>
      <c r="F13" s="30" t="s">
        <v>690</v>
      </c>
      <c r="G13" s="30" t="s">
        <v>394</v>
      </c>
      <c r="H13" s="6" t="s">
        <v>716</v>
      </c>
      <c r="I13" s="6" t="s">
        <v>717</v>
      </c>
      <c r="J13" s="30" t="s">
        <v>718</v>
      </c>
      <c r="K13" s="30" t="s">
        <v>394</v>
      </c>
      <c r="L13" s="30" t="s">
        <v>719</v>
      </c>
      <c r="M13" s="6" t="s">
        <v>720</v>
      </c>
      <c r="N13" s="6" t="s">
        <v>721</v>
      </c>
      <c r="O13" s="18">
        <v>2.5</v>
      </c>
      <c r="P13" s="31" t="s">
        <v>401</v>
      </c>
      <c r="Q13" s="6"/>
    </row>
    <row r="14" spans="1:17" ht="117.75" customHeight="1" x14ac:dyDescent="0.3">
      <c r="A14" s="7">
        <v>2</v>
      </c>
      <c r="B14" s="17">
        <v>46360</v>
      </c>
      <c r="C14" s="7" t="str">
        <f t="shared" si="0"/>
        <v>Fri</v>
      </c>
      <c r="D14" s="6" t="s">
        <v>532</v>
      </c>
      <c r="E14" s="6" t="s">
        <v>722</v>
      </c>
      <c r="F14" s="30" t="s">
        <v>690</v>
      </c>
      <c r="G14" s="30" t="s">
        <v>394</v>
      </c>
      <c r="H14" s="6" t="s">
        <v>723</v>
      </c>
      <c r="I14" s="6" t="s">
        <v>724</v>
      </c>
      <c r="J14" s="30" t="s">
        <v>718</v>
      </c>
      <c r="K14" s="30" t="s">
        <v>394</v>
      </c>
      <c r="L14" s="30" t="s">
        <v>719</v>
      </c>
      <c r="M14" s="6" t="s">
        <v>725</v>
      </c>
      <c r="N14" s="6" t="s">
        <v>726</v>
      </c>
      <c r="O14" s="18">
        <v>2.5</v>
      </c>
      <c r="P14" s="31" t="s">
        <v>401</v>
      </c>
      <c r="Q14" s="6"/>
    </row>
    <row r="15" spans="1:17" ht="117.75" customHeight="1" x14ac:dyDescent="0.3">
      <c r="A15" s="7">
        <v>3</v>
      </c>
      <c r="B15" s="17">
        <v>46361</v>
      </c>
      <c r="C15" s="7" t="str">
        <f t="shared" si="0"/>
        <v>Sat</v>
      </c>
      <c r="D15" s="6" t="s">
        <v>538</v>
      </c>
      <c r="E15" s="6" t="s">
        <v>727</v>
      </c>
      <c r="F15" s="30" t="s">
        <v>690</v>
      </c>
      <c r="G15" s="30" t="s">
        <v>394</v>
      </c>
      <c r="H15" s="6" t="s">
        <v>728</v>
      </c>
      <c r="I15" s="6" t="s">
        <v>729</v>
      </c>
      <c r="J15" s="30" t="s">
        <v>718</v>
      </c>
      <c r="K15" s="30" t="s">
        <v>394</v>
      </c>
      <c r="L15" s="30" t="s">
        <v>719</v>
      </c>
      <c r="M15" s="6" t="s">
        <v>730</v>
      </c>
      <c r="N15" s="6" t="s">
        <v>731</v>
      </c>
      <c r="O15" s="18">
        <v>2.5</v>
      </c>
      <c r="P15" s="31" t="s">
        <v>401</v>
      </c>
      <c r="Q15" s="6"/>
    </row>
    <row r="16" spans="1:17" ht="117.75" customHeight="1" x14ac:dyDescent="0.3">
      <c r="A16" s="7">
        <v>4</v>
      </c>
      <c r="B16" s="17">
        <v>46363</v>
      </c>
      <c r="C16" s="7" t="str">
        <f t="shared" si="0"/>
        <v>Mon</v>
      </c>
      <c r="D16" s="6" t="s">
        <v>441</v>
      </c>
      <c r="E16" s="6" t="s">
        <v>732</v>
      </c>
      <c r="F16" s="30" t="s">
        <v>690</v>
      </c>
      <c r="G16" s="30" t="s">
        <v>394</v>
      </c>
      <c r="H16" s="6" t="s">
        <v>733</v>
      </c>
      <c r="I16" s="6" t="s">
        <v>734</v>
      </c>
      <c r="J16" s="30" t="s">
        <v>718</v>
      </c>
      <c r="K16" s="30" t="s">
        <v>394</v>
      </c>
      <c r="L16" s="30" t="s">
        <v>719</v>
      </c>
      <c r="M16" s="6" t="s">
        <v>735</v>
      </c>
      <c r="N16" s="6" t="s">
        <v>736</v>
      </c>
      <c r="O16" s="18">
        <v>3</v>
      </c>
      <c r="P16" s="31" t="s">
        <v>401</v>
      </c>
      <c r="Q16" s="6"/>
    </row>
    <row r="17" spans="1:17" ht="117.75" customHeight="1" x14ac:dyDescent="0.3">
      <c r="A17" s="7">
        <v>5</v>
      </c>
      <c r="B17" s="17">
        <v>46364</v>
      </c>
      <c r="C17" s="7" t="str">
        <f t="shared" si="0"/>
        <v>Tue</v>
      </c>
      <c r="D17" s="6" t="s">
        <v>450</v>
      </c>
      <c r="E17" s="6" t="s">
        <v>737</v>
      </c>
      <c r="F17" s="30" t="s">
        <v>738</v>
      </c>
      <c r="G17" s="30" t="s">
        <v>394</v>
      </c>
      <c r="H17" s="6" t="s">
        <v>739</v>
      </c>
      <c r="I17" s="6" t="s">
        <v>740</v>
      </c>
      <c r="J17" s="30" t="s">
        <v>718</v>
      </c>
      <c r="K17" s="30" t="s">
        <v>394</v>
      </c>
      <c r="L17" s="30" t="s">
        <v>719</v>
      </c>
      <c r="M17" s="6" t="s">
        <v>741</v>
      </c>
      <c r="N17" s="6" t="s">
        <v>742</v>
      </c>
      <c r="O17" s="18">
        <v>3</v>
      </c>
      <c r="P17" s="31" t="s">
        <v>401</v>
      </c>
      <c r="Q17" s="6"/>
    </row>
    <row r="18" spans="1:17" ht="117.75" customHeight="1" x14ac:dyDescent="0.3">
      <c r="A18" s="7">
        <v>6</v>
      </c>
      <c r="B18" s="17">
        <v>46365</v>
      </c>
      <c r="C18" s="7" t="str">
        <f t="shared" si="0"/>
        <v>Wed</v>
      </c>
      <c r="D18" s="6" t="s">
        <v>457</v>
      </c>
      <c r="E18" s="6" t="s">
        <v>743</v>
      </c>
      <c r="F18" s="30" t="s">
        <v>738</v>
      </c>
      <c r="G18" s="30" t="s">
        <v>394</v>
      </c>
      <c r="H18" s="6" t="s">
        <v>744</v>
      </c>
      <c r="I18" s="6" t="s">
        <v>745</v>
      </c>
      <c r="J18" s="30" t="s">
        <v>718</v>
      </c>
      <c r="K18" s="30" t="s">
        <v>394</v>
      </c>
      <c r="L18" s="30" t="s">
        <v>719</v>
      </c>
      <c r="M18" s="6" t="s">
        <v>746</v>
      </c>
      <c r="N18" s="6" t="s">
        <v>747</v>
      </c>
      <c r="O18" s="18">
        <v>3</v>
      </c>
      <c r="P18" s="31" t="s">
        <v>401</v>
      </c>
      <c r="Q18" s="6"/>
    </row>
    <row r="19" spans="1:17" ht="117.75" customHeight="1" x14ac:dyDescent="0.3">
      <c r="A19" s="7">
        <v>7</v>
      </c>
      <c r="B19" s="17">
        <v>46366</v>
      </c>
      <c r="C19" s="7" t="str">
        <f t="shared" si="0"/>
        <v>Thu</v>
      </c>
      <c r="D19" s="6" t="s">
        <v>464</v>
      </c>
      <c r="E19" s="6" t="s">
        <v>748</v>
      </c>
      <c r="F19" s="30" t="s">
        <v>749</v>
      </c>
      <c r="G19" s="30" t="s">
        <v>394</v>
      </c>
      <c r="H19" s="6" t="s">
        <v>750</v>
      </c>
      <c r="I19" s="6" t="s">
        <v>751</v>
      </c>
      <c r="J19" s="30" t="s">
        <v>718</v>
      </c>
      <c r="K19" s="30" t="s">
        <v>394</v>
      </c>
      <c r="L19" s="30" t="s">
        <v>719</v>
      </c>
      <c r="M19" s="6" t="s">
        <v>752</v>
      </c>
      <c r="N19" s="6" t="s">
        <v>753</v>
      </c>
      <c r="O19" s="18">
        <v>3</v>
      </c>
      <c r="P19" s="31" t="s">
        <v>401</v>
      </c>
      <c r="Q19" s="6" t="s">
        <v>754</v>
      </c>
    </row>
    <row r="20" spans="1:17" ht="117.75" customHeight="1" x14ac:dyDescent="0.3">
      <c r="A20" s="7">
        <v>8</v>
      </c>
      <c r="B20" s="17">
        <v>46377</v>
      </c>
      <c r="C20" s="7" t="str">
        <f t="shared" si="0"/>
        <v>Mon</v>
      </c>
      <c r="D20" s="6" t="s">
        <v>755</v>
      </c>
      <c r="E20" s="6" t="s">
        <v>756</v>
      </c>
      <c r="F20" s="30" t="s">
        <v>563</v>
      </c>
      <c r="G20" s="30" t="s">
        <v>394</v>
      </c>
      <c r="H20" s="6" t="s">
        <v>757</v>
      </c>
      <c r="I20" s="6" t="s">
        <v>758</v>
      </c>
      <c r="J20" s="30" t="s">
        <v>718</v>
      </c>
      <c r="K20" s="30" t="s">
        <v>394</v>
      </c>
      <c r="L20" s="30" t="s">
        <v>719</v>
      </c>
      <c r="M20" s="6" t="s">
        <v>759</v>
      </c>
      <c r="N20" s="6" t="s">
        <v>760</v>
      </c>
      <c r="O20" s="18">
        <v>3</v>
      </c>
      <c r="P20" s="31" t="s">
        <v>401</v>
      </c>
      <c r="Q20" s="6" t="s">
        <v>761</v>
      </c>
    </row>
    <row r="21" spans="1:17" x14ac:dyDescent="0.3">
      <c r="N21" s="1" t="s">
        <v>428</v>
      </c>
      <c r="O21" s="27">
        <f>SUM(O13:O20)</f>
        <v>22.5</v>
      </c>
    </row>
  </sheetData>
  <mergeCells count="13">
    <mergeCell ref="A1:F1"/>
    <mergeCell ref="A6:C6"/>
    <mergeCell ref="D9:I9"/>
    <mergeCell ref="A9:C9"/>
    <mergeCell ref="D6:I6"/>
    <mergeCell ref="A7:C7"/>
    <mergeCell ref="D7:I7"/>
    <mergeCell ref="D8:I8"/>
    <mergeCell ref="A10:C10"/>
    <mergeCell ref="A2:F2"/>
    <mergeCell ref="A5:C5"/>
    <mergeCell ref="D5:I5"/>
    <mergeCell ref="A8:C8"/>
  </mergeCells>
  <conditionalFormatting sqref="P13:P20">
    <cfRule type="cellIs" dxfId="9" priority="2" operator="equal">
      <formula>"Done"</formula>
    </cfRule>
    <cfRule type="cellIs" dxfId="8" priority="3" operator="equal">
      <formula>"In Progress"</formula>
    </cfRule>
  </conditionalFormatting>
  <dataValidations count="1">
    <dataValidation type="list" allowBlank="1" sqref="P13:P20" xr:uid="{00000000-0002-0000-0800-000000000000}">
      <formula1>"Not Started,In Progress,Done"</formula1>
      <formula2>0</formula2>
    </dataValidation>
  </dataValidations>
  <hyperlinks>
    <hyperlink ref="D5" r:id="rId1" xr:uid="{00000000-0004-0000-0800-000000000000}"/>
    <hyperlink ref="D6" r:id="rId2" xr:uid="{00000000-0004-0000-0800-000001000000}"/>
    <hyperlink ref="D7" r:id="rId3" xr:uid="{00000000-0004-0000-0800-000002000000}"/>
    <hyperlink ref="D8" r:id="rId4" xr:uid="{00000000-0004-0000-0800-000003000000}"/>
    <hyperlink ref="D10" r:id="rId5" xr:uid="{00000000-0004-0000-0800-000004000000}"/>
    <hyperlink ref="E10" r:id="rId6" xr:uid="{00000000-0004-0000-0800-000005000000}"/>
    <hyperlink ref="F10" r:id="rId7" xr:uid="{00000000-0004-0000-0800-000006000000}"/>
    <hyperlink ref="F13" r:id="rId8" xr:uid="{00000000-0004-0000-0800-000007000000}"/>
    <hyperlink ref="G13" r:id="rId9" xr:uid="{00000000-0004-0000-0800-000008000000}"/>
    <hyperlink ref="J13" r:id="rId10" xr:uid="{00000000-0004-0000-0800-000009000000}"/>
    <hyperlink ref="K13" r:id="rId11" xr:uid="{00000000-0004-0000-0800-00000A000000}"/>
    <hyperlink ref="L13" r:id="rId12" xr:uid="{00000000-0004-0000-0800-00000B000000}"/>
    <hyperlink ref="F14" r:id="rId13" xr:uid="{00000000-0004-0000-0800-00000C000000}"/>
    <hyperlink ref="G14" r:id="rId14" xr:uid="{00000000-0004-0000-0800-00000D000000}"/>
    <hyperlink ref="J14" r:id="rId15" xr:uid="{00000000-0004-0000-0800-00000E000000}"/>
    <hyperlink ref="K14" r:id="rId16" xr:uid="{00000000-0004-0000-0800-00000F000000}"/>
    <hyperlink ref="L14" r:id="rId17" xr:uid="{00000000-0004-0000-0800-000010000000}"/>
    <hyperlink ref="F15" r:id="rId18" xr:uid="{00000000-0004-0000-0800-000011000000}"/>
    <hyperlink ref="G15" r:id="rId19" xr:uid="{00000000-0004-0000-0800-000012000000}"/>
    <hyperlink ref="J15" r:id="rId20" xr:uid="{00000000-0004-0000-0800-000013000000}"/>
    <hyperlink ref="K15" r:id="rId21" xr:uid="{00000000-0004-0000-0800-000014000000}"/>
    <hyperlink ref="L15" r:id="rId22" xr:uid="{00000000-0004-0000-0800-000015000000}"/>
    <hyperlink ref="F16" r:id="rId23" xr:uid="{00000000-0004-0000-0800-000016000000}"/>
    <hyperlink ref="G16" r:id="rId24" xr:uid="{00000000-0004-0000-0800-000017000000}"/>
    <hyperlink ref="J16" r:id="rId25" xr:uid="{00000000-0004-0000-0800-000018000000}"/>
    <hyperlink ref="K16" r:id="rId26" xr:uid="{00000000-0004-0000-0800-000019000000}"/>
    <hyperlink ref="L16" r:id="rId27" xr:uid="{00000000-0004-0000-0800-00001A000000}"/>
    <hyperlink ref="F17" r:id="rId28" xr:uid="{00000000-0004-0000-0800-00001B000000}"/>
    <hyperlink ref="G17" r:id="rId29" xr:uid="{00000000-0004-0000-0800-00001C000000}"/>
    <hyperlink ref="J17" r:id="rId30" xr:uid="{00000000-0004-0000-0800-00001D000000}"/>
    <hyperlink ref="K17" r:id="rId31" xr:uid="{00000000-0004-0000-0800-00001E000000}"/>
    <hyperlink ref="L17" r:id="rId32" xr:uid="{00000000-0004-0000-0800-00001F000000}"/>
    <hyperlink ref="F18" r:id="rId33" xr:uid="{00000000-0004-0000-0800-000020000000}"/>
    <hyperlink ref="G18" r:id="rId34" xr:uid="{00000000-0004-0000-0800-000021000000}"/>
    <hyperlink ref="J18" r:id="rId35" xr:uid="{00000000-0004-0000-0800-000022000000}"/>
    <hyperlink ref="K18" r:id="rId36" xr:uid="{00000000-0004-0000-0800-000023000000}"/>
    <hyperlink ref="L18" r:id="rId37" xr:uid="{00000000-0004-0000-0800-000024000000}"/>
    <hyperlink ref="F19" r:id="rId38" xr:uid="{00000000-0004-0000-0800-000025000000}"/>
    <hyperlink ref="G19" r:id="rId39" xr:uid="{00000000-0004-0000-0800-000026000000}"/>
    <hyperlink ref="J19" r:id="rId40" xr:uid="{00000000-0004-0000-0800-000027000000}"/>
    <hyperlink ref="K19" r:id="rId41" xr:uid="{00000000-0004-0000-0800-000028000000}"/>
    <hyperlink ref="L19" r:id="rId42" xr:uid="{00000000-0004-0000-0800-000029000000}"/>
    <hyperlink ref="F20" r:id="rId43" xr:uid="{00000000-0004-0000-0800-00002A000000}"/>
    <hyperlink ref="G20" r:id="rId44" xr:uid="{00000000-0004-0000-0800-00002B000000}"/>
    <hyperlink ref="J20" r:id="rId45" xr:uid="{00000000-0004-0000-0800-00002C000000}"/>
    <hyperlink ref="K20" r:id="rId46" xr:uid="{00000000-0004-0000-0800-00002D000000}"/>
    <hyperlink ref="L20" r:id="rId47" xr:uid="{00000000-0004-0000-0800-00002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" sqref="A2:F2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36" customWidth="1"/>
    <col min="5" max="5" width="44" customWidth="1"/>
    <col min="6" max="6" width="46" customWidth="1"/>
    <col min="7" max="7" width="16" customWidth="1"/>
    <col min="8" max="8" width="28" customWidth="1"/>
    <col min="9" max="9" width="34" customWidth="1"/>
    <col min="10" max="10" width="10" customWidth="1"/>
    <col min="11" max="11" width="13" customWidth="1"/>
    <col min="12" max="12" width="40" customWidth="1"/>
  </cols>
  <sheetData>
    <row r="1" spans="1:12" ht="17.399999999999999" customHeight="1" x14ac:dyDescent="0.3">
      <c r="A1" s="34" t="s">
        <v>762</v>
      </c>
      <c r="B1" s="33"/>
      <c r="C1" s="33"/>
      <c r="D1" s="33"/>
      <c r="E1" s="33"/>
      <c r="F1" s="33"/>
    </row>
    <row r="2" spans="1:12" x14ac:dyDescent="0.3">
      <c r="A2" s="32" t="s">
        <v>763</v>
      </c>
      <c r="B2" s="33"/>
      <c r="C2" s="33"/>
      <c r="D2" s="33"/>
      <c r="E2" s="33"/>
      <c r="F2" s="33"/>
    </row>
    <row r="4" spans="1:12" ht="26.4" customHeight="1" x14ac:dyDescent="0.3">
      <c r="A4" s="5" t="s">
        <v>377</v>
      </c>
      <c r="B4" s="5" t="s">
        <v>190</v>
      </c>
      <c r="C4" s="5" t="s">
        <v>191</v>
      </c>
      <c r="D4" s="5" t="s">
        <v>764</v>
      </c>
      <c r="E4" s="5" t="s">
        <v>383</v>
      </c>
      <c r="F4" s="5" t="s">
        <v>765</v>
      </c>
      <c r="G4" s="5" t="s">
        <v>766</v>
      </c>
      <c r="H4" s="5" t="s">
        <v>767</v>
      </c>
      <c r="I4" s="5" t="s">
        <v>768</v>
      </c>
      <c r="J4" s="5" t="s">
        <v>769</v>
      </c>
      <c r="K4" s="5" t="s">
        <v>160</v>
      </c>
      <c r="L4" s="5" t="s">
        <v>390</v>
      </c>
    </row>
    <row r="5" spans="1:12" ht="61.5" customHeight="1" x14ac:dyDescent="0.3">
      <c r="A5" s="7">
        <v>1</v>
      </c>
      <c r="B5" s="17">
        <v>46308</v>
      </c>
      <c r="C5" s="7" t="str">
        <f t="shared" ref="C5:C36" si="0">TEXT(B5,"ddd")</f>
        <v>Tue</v>
      </c>
      <c r="D5" s="6" t="s">
        <v>770</v>
      </c>
      <c r="E5" s="6" t="s">
        <v>771</v>
      </c>
      <c r="F5" s="30" t="s">
        <v>393</v>
      </c>
      <c r="G5" s="30" t="s">
        <v>394</v>
      </c>
      <c r="H5" s="6" t="s">
        <v>772</v>
      </c>
      <c r="I5" s="6" t="s">
        <v>773</v>
      </c>
      <c r="J5" s="7">
        <v>30</v>
      </c>
      <c r="K5" s="31" t="s">
        <v>401</v>
      </c>
      <c r="L5" s="6"/>
    </row>
    <row r="6" spans="1:12" ht="61.5" customHeight="1" x14ac:dyDescent="0.3">
      <c r="A6" s="7">
        <v>2</v>
      </c>
      <c r="B6" s="17">
        <v>46309</v>
      </c>
      <c r="C6" s="7" t="str">
        <f t="shared" si="0"/>
        <v>Wed</v>
      </c>
      <c r="D6" s="6" t="s">
        <v>774</v>
      </c>
      <c r="E6" s="6" t="s">
        <v>775</v>
      </c>
      <c r="F6" s="30" t="s">
        <v>393</v>
      </c>
      <c r="G6" s="30" t="s">
        <v>394</v>
      </c>
      <c r="H6" s="6" t="s">
        <v>776</v>
      </c>
      <c r="I6" s="6" t="s">
        <v>773</v>
      </c>
      <c r="J6" s="7">
        <v>30</v>
      </c>
      <c r="K6" s="31" t="s">
        <v>401</v>
      </c>
      <c r="L6" s="6"/>
    </row>
    <row r="7" spans="1:12" ht="61.5" customHeight="1" x14ac:dyDescent="0.3">
      <c r="A7" s="7">
        <v>3</v>
      </c>
      <c r="B7" s="17">
        <v>46310</v>
      </c>
      <c r="C7" s="7" t="str">
        <f t="shared" si="0"/>
        <v>Thu</v>
      </c>
      <c r="D7" s="6" t="s">
        <v>777</v>
      </c>
      <c r="E7" s="6" t="s">
        <v>778</v>
      </c>
      <c r="F7" s="30" t="s">
        <v>393</v>
      </c>
      <c r="G7" s="30" t="s">
        <v>394</v>
      </c>
      <c r="H7" s="6" t="s">
        <v>779</v>
      </c>
      <c r="I7" s="6" t="s">
        <v>773</v>
      </c>
      <c r="J7" s="7">
        <v>30</v>
      </c>
      <c r="K7" s="31" t="s">
        <v>401</v>
      </c>
      <c r="L7" s="6"/>
    </row>
    <row r="8" spans="1:12" ht="61.5" customHeight="1" x14ac:dyDescent="0.3">
      <c r="A8" s="7">
        <v>4</v>
      </c>
      <c r="B8" s="17">
        <v>46311</v>
      </c>
      <c r="C8" s="7" t="str">
        <f t="shared" si="0"/>
        <v>Fri</v>
      </c>
      <c r="D8" s="6" t="s">
        <v>780</v>
      </c>
      <c r="E8" s="6" t="s">
        <v>781</v>
      </c>
      <c r="F8" s="30" t="s">
        <v>393</v>
      </c>
      <c r="G8" s="30" t="s">
        <v>394</v>
      </c>
      <c r="H8" s="6" t="s">
        <v>782</v>
      </c>
      <c r="I8" s="6" t="s">
        <v>773</v>
      </c>
      <c r="J8" s="7">
        <v>30</v>
      </c>
      <c r="K8" s="31" t="s">
        <v>401</v>
      </c>
      <c r="L8" s="6" t="s">
        <v>420</v>
      </c>
    </row>
    <row r="9" spans="1:12" ht="61.5" customHeight="1" x14ac:dyDescent="0.3">
      <c r="A9" s="7">
        <v>5</v>
      </c>
      <c r="B9" s="17">
        <v>46312</v>
      </c>
      <c r="C9" s="7" t="str">
        <f t="shared" si="0"/>
        <v>Sat</v>
      </c>
      <c r="D9" s="6" t="s">
        <v>783</v>
      </c>
      <c r="E9" s="6" t="s">
        <v>784</v>
      </c>
      <c r="F9" s="30" t="s">
        <v>393</v>
      </c>
      <c r="G9" s="30" t="s">
        <v>394</v>
      </c>
      <c r="H9" s="6" t="s">
        <v>785</v>
      </c>
      <c r="I9" s="6" t="s">
        <v>773</v>
      </c>
      <c r="J9" s="7">
        <v>30</v>
      </c>
      <c r="K9" s="31" t="s">
        <v>401</v>
      </c>
      <c r="L9" s="6" t="s">
        <v>427</v>
      </c>
    </row>
    <row r="10" spans="1:12" ht="61.5" customHeight="1" x14ac:dyDescent="0.3">
      <c r="A10" s="7">
        <v>6</v>
      </c>
      <c r="B10" s="17">
        <v>46314</v>
      </c>
      <c r="C10" s="7" t="str">
        <f t="shared" si="0"/>
        <v>Mon</v>
      </c>
      <c r="D10" s="6" t="s">
        <v>786</v>
      </c>
      <c r="E10" s="6" t="s">
        <v>787</v>
      </c>
      <c r="F10" s="30" t="s">
        <v>443</v>
      </c>
      <c r="G10" s="30" t="s">
        <v>394</v>
      </c>
      <c r="H10" s="6" t="s">
        <v>788</v>
      </c>
      <c r="I10" s="6" t="s">
        <v>773</v>
      </c>
      <c r="J10" s="7">
        <v>35</v>
      </c>
      <c r="K10" s="31" t="s">
        <v>401</v>
      </c>
      <c r="L10" s="6"/>
    </row>
    <row r="11" spans="1:12" ht="61.5" customHeight="1" x14ac:dyDescent="0.3">
      <c r="A11" s="7">
        <v>7</v>
      </c>
      <c r="B11" s="17">
        <v>46315</v>
      </c>
      <c r="C11" s="7" t="str">
        <f t="shared" si="0"/>
        <v>Tue</v>
      </c>
      <c r="D11" s="6" t="s">
        <v>789</v>
      </c>
      <c r="E11" s="6" t="s">
        <v>790</v>
      </c>
      <c r="F11" s="30" t="s">
        <v>443</v>
      </c>
      <c r="G11" s="30" t="s">
        <v>394</v>
      </c>
      <c r="H11" s="6" t="s">
        <v>791</v>
      </c>
      <c r="I11" s="6" t="s">
        <v>773</v>
      </c>
      <c r="J11" s="7">
        <v>35</v>
      </c>
      <c r="K11" s="31" t="s">
        <v>401</v>
      </c>
      <c r="L11" s="6" t="s">
        <v>456</v>
      </c>
    </row>
    <row r="12" spans="1:12" ht="61.5" customHeight="1" x14ac:dyDescent="0.3">
      <c r="A12" s="7">
        <v>8</v>
      </c>
      <c r="B12" s="17">
        <v>46316</v>
      </c>
      <c r="C12" s="7" t="str">
        <f t="shared" si="0"/>
        <v>Wed</v>
      </c>
      <c r="D12" s="6" t="s">
        <v>792</v>
      </c>
      <c r="E12" s="6" t="s">
        <v>793</v>
      </c>
      <c r="F12" s="30" t="s">
        <v>443</v>
      </c>
      <c r="G12" s="30" t="s">
        <v>394</v>
      </c>
      <c r="H12" s="6" t="s">
        <v>794</v>
      </c>
      <c r="I12" s="6" t="s">
        <v>773</v>
      </c>
      <c r="J12" s="7">
        <v>35</v>
      </c>
      <c r="K12" s="31" t="s">
        <v>401</v>
      </c>
      <c r="L12" s="6" t="s">
        <v>463</v>
      </c>
    </row>
    <row r="13" spans="1:12" ht="61.5" customHeight="1" x14ac:dyDescent="0.3">
      <c r="A13" s="7">
        <v>9</v>
      </c>
      <c r="B13" s="17">
        <v>46317</v>
      </c>
      <c r="C13" s="7" t="str">
        <f t="shared" si="0"/>
        <v>Thu</v>
      </c>
      <c r="D13" s="6" t="s">
        <v>795</v>
      </c>
      <c r="E13" s="6" t="s">
        <v>796</v>
      </c>
      <c r="F13" s="30" t="s">
        <v>443</v>
      </c>
      <c r="G13" s="30" t="s">
        <v>394</v>
      </c>
      <c r="H13" s="6" t="s">
        <v>797</v>
      </c>
      <c r="I13" s="6" t="s">
        <v>773</v>
      </c>
      <c r="J13" s="7">
        <v>35</v>
      </c>
      <c r="K13" s="31" t="s">
        <v>401</v>
      </c>
      <c r="L13" s="6" t="s">
        <v>463</v>
      </c>
    </row>
    <row r="14" spans="1:12" ht="61.5" customHeight="1" x14ac:dyDescent="0.3">
      <c r="A14" s="7">
        <v>10</v>
      </c>
      <c r="B14" s="17">
        <v>46318</v>
      </c>
      <c r="C14" s="7" t="str">
        <f t="shared" si="0"/>
        <v>Fri</v>
      </c>
      <c r="D14" s="6" t="s">
        <v>798</v>
      </c>
      <c r="E14" s="6" t="s">
        <v>799</v>
      </c>
      <c r="F14" s="30" t="s">
        <v>443</v>
      </c>
      <c r="G14" s="30" t="s">
        <v>394</v>
      </c>
      <c r="H14" s="6" t="s">
        <v>800</v>
      </c>
      <c r="I14" s="6" t="s">
        <v>773</v>
      </c>
      <c r="J14" s="7">
        <v>35</v>
      </c>
      <c r="K14" s="31" t="s">
        <v>401</v>
      </c>
      <c r="L14" s="6" t="s">
        <v>463</v>
      </c>
    </row>
    <row r="15" spans="1:12" ht="61.5" customHeight="1" x14ac:dyDescent="0.3">
      <c r="A15" s="7">
        <v>11</v>
      </c>
      <c r="B15" s="17">
        <v>46319</v>
      </c>
      <c r="C15" s="7" t="str">
        <f t="shared" si="0"/>
        <v>Sat</v>
      </c>
      <c r="D15" s="6" t="s">
        <v>801</v>
      </c>
      <c r="E15" s="6" t="s">
        <v>802</v>
      </c>
      <c r="F15" s="30" t="s">
        <v>443</v>
      </c>
      <c r="G15" s="30" t="s">
        <v>394</v>
      </c>
      <c r="H15" s="6" t="s">
        <v>803</v>
      </c>
      <c r="I15" s="6" t="s">
        <v>773</v>
      </c>
      <c r="J15" s="7">
        <v>35</v>
      </c>
      <c r="K15" s="31" t="s">
        <v>401</v>
      </c>
      <c r="L15" s="6" t="s">
        <v>463</v>
      </c>
    </row>
    <row r="16" spans="1:12" ht="61.5" customHeight="1" x14ac:dyDescent="0.3">
      <c r="A16" s="7">
        <v>12</v>
      </c>
      <c r="B16" s="17">
        <v>46321</v>
      </c>
      <c r="C16" s="7" t="str">
        <f t="shared" si="0"/>
        <v>Mon</v>
      </c>
      <c r="D16" s="6" t="s">
        <v>804</v>
      </c>
      <c r="E16" s="6" t="s">
        <v>805</v>
      </c>
      <c r="F16" s="30" t="s">
        <v>484</v>
      </c>
      <c r="G16" s="30" t="s">
        <v>394</v>
      </c>
      <c r="H16" s="6" t="s">
        <v>806</v>
      </c>
      <c r="I16" s="6" t="s">
        <v>773</v>
      </c>
      <c r="J16" s="7">
        <v>40</v>
      </c>
      <c r="K16" s="31" t="s">
        <v>401</v>
      </c>
      <c r="L16" s="6"/>
    </row>
    <row r="17" spans="1:12" ht="61.5" customHeight="1" x14ac:dyDescent="0.3">
      <c r="A17" s="7">
        <v>13</v>
      </c>
      <c r="B17" s="17">
        <v>46322</v>
      </c>
      <c r="C17" s="7" t="str">
        <f t="shared" si="0"/>
        <v>Tue</v>
      </c>
      <c r="D17" s="6" t="s">
        <v>807</v>
      </c>
      <c r="E17" s="6" t="s">
        <v>808</v>
      </c>
      <c r="F17" s="30" t="s">
        <v>484</v>
      </c>
      <c r="G17" s="30" t="s">
        <v>394</v>
      </c>
      <c r="H17" s="6" t="s">
        <v>809</v>
      </c>
      <c r="I17" s="6" t="s">
        <v>773</v>
      </c>
      <c r="J17" s="7">
        <v>40</v>
      </c>
      <c r="K17" s="31" t="s">
        <v>401</v>
      </c>
      <c r="L17" s="6"/>
    </row>
    <row r="18" spans="1:12" ht="61.5" customHeight="1" x14ac:dyDescent="0.3">
      <c r="A18" s="7">
        <v>14</v>
      </c>
      <c r="B18" s="17">
        <v>46323</v>
      </c>
      <c r="C18" s="7" t="str">
        <f t="shared" si="0"/>
        <v>Wed</v>
      </c>
      <c r="D18" s="6" t="s">
        <v>810</v>
      </c>
      <c r="E18" s="6" t="s">
        <v>811</v>
      </c>
      <c r="F18" s="30" t="s">
        <v>496</v>
      </c>
      <c r="G18" s="30" t="s">
        <v>394</v>
      </c>
      <c r="H18" s="6" t="s">
        <v>812</v>
      </c>
      <c r="I18" s="6" t="s">
        <v>773</v>
      </c>
      <c r="J18" s="7">
        <v>40</v>
      </c>
      <c r="K18" s="31" t="s">
        <v>401</v>
      </c>
      <c r="L18" s="6"/>
    </row>
    <row r="19" spans="1:12" ht="61.5" customHeight="1" x14ac:dyDescent="0.3">
      <c r="A19" s="7">
        <v>15</v>
      </c>
      <c r="B19" s="17">
        <v>46324</v>
      </c>
      <c r="C19" s="7" t="str">
        <f t="shared" si="0"/>
        <v>Thu</v>
      </c>
      <c r="D19" s="6" t="s">
        <v>813</v>
      </c>
      <c r="E19" s="6" t="s">
        <v>814</v>
      </c>
      <c r="F19" s="30" t="s">
        <v>496</v>
      </c>
      <c r="G19" s="30" t="s">
        <v>394</v>
      </c>
      <c r="H19" s="6" t="s">
        <v>815</v>
      </c>
      <c r="I19" s="6" t="s">
        <v>773</v>
      </c>
      <c r="J19" s="7">
        <v>40</v>
      </c>
      <c r="K19" s="31" t="s">
        <v>401</v>
      </c>
      <c r="L19" s="6"/>
    </row>
    <row r="20" spans="1:12" ht="61.5" customHeight="1" x14ac:dyDescent="0.3">
      <c r="A20" s="7">
        <v>16</v>
      </c>
      <c r="B20" s="17">
        <v>46325</v>
      </c>
      <c r="C20" s="7" t="str">
        <f t="shared" si="0"/>
        <v>Fri</v>
      </c>
      <c r="D20" s="6" t="s">
        <v>816</v>
      </c>
      <c r="E20" s="6" t="s">
        <v>817</v>
      </c>
      <c r="F20" s="30" t="s">
        <v>496</v>
      </c>
      <c r="G20" s="30" t="s">
        <v>394</v>
      </c>
      <c r="H20" s="6" t="s">
        <v>818</v>
      </c>
      <c r="I20" s="6" t="s">
        <v>773</v>
      </c>
      <c r="J20" s="7">
        <v>40</v>
      </c>
      <c r="K20" s="31" t="s">
        <v>401</v>
      </c>
      <c r="L20" s="6"/>
    </row>
    <row r="21" spans="1:12" ht="61.5" customHeight="1" x14ac:dyDescent="0.3">
      <c r="A21" s="7">
        <v>17</v>
      </c>
      <c r="B21" s="17">
        <v>46326</v>
      </c>
      <c r="C21" s="7" t="str">
        <f t="shared" si="0"/>
        <v>Sat</v>
      </c>
      <c r="D21" s="6" t="s">
        <v>819</v>
      </c>
      <c r="E21" s="6" t="s">
        <v>820</v>
      </c>
      <c r="F21" s="30" t="s">
        <v>496</v>
      </c>
      <c r="G21" s="30" t="s">
        <v>394</v>
      </c>
      <c r="H21" s="6" t="s">
        <v>821</v>
      </c>
      <c r="I21" s="6" t="s">
        <v>773</v>
      </c>
      <c r="J21" s="7">
        <v>40</v>
      </c>
      <c r="K21" s="31" t="s">
        <v>401</v>
      </c>
      <c r="L21" s="6"/>
    </row>
    <row r="22" spans="1:12" ht="61.5" customHeight="1" x14ac:dyDescent="0.3">
      <c r="A22" s="7">
        <v>18</v>
      </c>
      <c r="B22" s="17">
        <v>46328</v>
      </c>
      <c r="C22" s="7" t="str">
        <f t="shared" si="0"/>
        <v>Mon</v>
      </c>
      <c r="D22" s="6" t="s">
        <v>822</v>
      </c>
      <c r="E22" s="6" t="s">
        <v>823</v>
      </c>
      <c r="F22" s="30" t="s">
        <v>496</v>
      </c>
      <c r="G22" s="30" t="s">
        <v>394</v>
      </c>
      <c r="H22" s="6" t="s">
        <v>824</v>
      </c>
      <c r="I22" s="6" t="s">
        <v>773</v>
      </c>
      <c r="J22" s="7">
        <v>40</v>
      </c>
      <c r="K22" s="31" t="s">
        <v>401</v>
      </c>
      <c r="L22" s="6"/>
    </row>
    <row r="23" spans="1:12" ht="61.5" customHeight="1" x14ac:dyDescent="0.3">
      <c r="A23" s="7">
        <v>19</v>
      </c>
      <c r="B23" s="17">
        <v>46329</v>
      </c>
      <c r="C23" s="7" t="str">
        <f t="shared" si="0"/>
        <v>Tue</v>
      </c>
      <c r="D23" s="6" t="s">
        <v>825</v>
      </c>
      <c r="E23" s="6" t="s">
        <v>826</v>
      </c>
      <c r="F23" s="30" t="s">
        <v>540</v>
      </c>
      <c r="G23" s="30" t="s">
        <v>394</v>
      </c>
      <c r="H23" s="6" t="s">
        <v>827</v>
      </c>
      <c r="I23" s="6" t="s">
        <v>773</v>
      </c>
      <c r="J23" s="7">
        <v>40</v>
      </c>
      <c r="K23" s="31" t="s">
        <v>401</v>
      </c>
      <c r="L23" s="6"/>
    </row>
    <row r="24" spans="1:12" ht="61.5" customHeight="1" x14ac:dyDescent="0.3">
      <c r="A24" s="7">
        <v>20</v>
      </c>
      <c r="B24" s="17">
        <v>46330</v>
      </c>
      <c r="C24" s="7" t="str">
        <f t="shared" si="0"/>
        <v>Wed</v>
      </c>
      <c r="D24" s="6" t="s">
        <v>828</v>
      </c>
      <c r="E24" s="6" t="s">
        <v>829</v>
      </c>
      <c r="F24" s="30" t="s">
        <v>540</v>
      </c>
      <c r="G24" s="30" t="s">
        <v>394</v>
      </c>
      <c r="H24" s="6" t="s">
        <v>830</v>
      </c>
      <c r="I24" s="6" t="s">
        <v>773</v>
      </c>
      <c r="J24" s="7">
        <v>40</v>
      </c>
      <c r="K24" s="31" t="s">
        <v>401</v>
      </c>
      <c r="L24" s="6"/>
    </row>
    <row r="25" spans="1:12" ht="61.5" customHeight="1" x14ac:dyDescent="0.3">
      <c r="A25" s="7">
        <v>21</v>
      </c>
      <c r="B25" s="17">
        <v>46331</v>
      </c>
      <c r="C25" s="7" t="str">
        <f t="shared" si="0"/>
        <v>Thu</v>
      </c>
      <c r="D25" s="6" t="s">
        <v>522</v>
      </c>
      <c r="E25" s="6" t="s">
        <v>831</v>
      </c>
      <c r="F25" s="30" t="s">
        <v>551</v>
      </c>
      <c r="G25" s="30" t="s">
        <v>394</v>
      </c>
      <c r="H25" s="6" t="s">
        <v>832</v>
      </c>
      <c r="I25" s="6" t="s">
        <v>773</v>
      </c>
      <c r="J25" s="7">
        <v>40</v>
      </c>
      <c r="K25" s="31" t="s">
        <v>401</v>
      </c>
      <c r="L25" s="6"/>
    </row>
    <row r="26" spans="1:12" ht="61.5" customHeight="1" x14ac:dyDescent="0.3">
      <c r="A26" s="7">
        <v>22</v>
      </c>
      <c r="B26" s="17">
        <v>46332</v>
      </c>
      <c r="C26" s="7" t="str">
        <f t="shared" si="0"/>
        <v>Fri</v>
      </c>
      <c r="D26" s="6" t="s">
        <v>833</v>
      </c>
      <c r="E26" s="6" t="s">
        <v>834</v>
      </c>
      <c r="F26" s="30" t="s">
        <v>540</v>
      </c>
      <c r="G26" s="30" t="s">
        <v>394</v>
      </c>
      <c r="H26" s="6" t="s">
        <v>835</v>
      </c>
      <c r="I26" s="6" t="s">
        <v>773</v>
      </c>
      <c r="J26" s="7">
        <v>40</v>
      </c>
      <c r="K26" s="31" t="s">
        <v>401</v>
      </c>
      <c r="L26" s="6" t="s">
        <v>561</v>
      </c>
    </row>
    <row r="27" spans="1:12" ht="61.5" customHeight="1" x14ac:dyDescent="0.3">
      <c r="A27" s="7">
        <v>23</v>
      </c>
      <c r="B27" s="17">
        <v>46333</v>
      </c>
      <c r="C27" s="7" t="str">
        <f t="shared" si="0"/>
        <v>Sat</v>
      </c>
      <c r="D27" s="6" t="s">
        <v>836</v>
      </c>
      <c r="E27" s="6" t="s">
        <v>837</v>
      </c>
      <c r="F27" s="30" t="s">
        <v>563</v>
      </c>
      <c r="G27" s="30" t="s">
        <v>394</v>
      </c>
      <c r="H27" s="6" t="s">
        <v>838</v>
      </c>
      <c r="I27" s="6" t="s">
        <v>839</v>
      </c>
      <c r="J27" s="7">
        <v>40</v>
      </c>
      <c r="K27" s="31" t="s">
        <v>401</v>
      </c>
      <c r="L27" s="6"/>
    </row>
    <row r="28" spans="1:12" ht="61.5" customHeight="1" x14ac:dyDescent="0.3">
      <c r="A28" s="7">
        <v>24</v>
      </c>
      <c r="B28" s="17">
        <v>46335</v>
      </c>
      <c r="C28" s="7" t="str">
        <f t="shared" si="0"/>
        <v>Mon</v>
      </c>
      <c r="D28" s="6" t="s">
        <v>840</v>
      </c>
      <c r="E28" s="6" t="s">
        <v>841</v>
      </c>
      <c r="F28" s="30" t="s">
        <v>563</v>
      </c>
      <c r="G28" s="30" t="s">
        <v>394</v>
      </c>
      <c r="H28" s="6" t="s">
        <v>842</v>
      </c>
      <c r="I28" s="6" t="s">
        <v>839</v>
      </c>
      <c r="J28" s="7">
        <v>40</v>
      </c>
      <c r="K28" s="31" t="s">
        <v>401</v>
      </c>
      <c r="L28" s="6"/>
    </row>
    <row r="29" spans="1:12" ht="61.5" customHeight="1" x14ac:dyDescent="0.3">
      <c r="A29" s="7">
        <v>25</v>
      </c>
      <c r="B29" s="17">
        <v>46336</v>
      </c>
      <c r="C29" s="7" t="str">
        <f t="shared" si="0"/>
        <v>Tue</v>
      </c>
      <c r="D29" s="6" t="s">
        <v>843</v>
      </c>
      <c r="E29" s="6" t="s">
        <v>844</v>
      </c>
      <c r="F29" s="30" t="s">
        <v>563</v>
      </c>
      <c r="G29" s="30" t="s">
        <v>394</v>
      </c>
      <c r="H29" s="6" t="s">
        <v>845</v>
      </c>
      <c r="I29" s="6" t="s">
        <v>839</v>
      </c>
      <c r="J29" s="7">
        <v>40</v>
      </c>
      <c r="K29" s="31" t="s">
        <v>401</v>
      </c>
      <c r="L29" s="6"/>
    </row>
    <row r="30" spans="1:12" ht="61.5" customHeight="1" x14ac:dyDescent="0.3">
      <c r="A30" s="7">
        <v>26</v>
      </c>
      <c r="B30" s="17">
        <v>46337</v>
      </c>
      <c r="C30" s="7" t="str">
        <f t="shared" si="0"/>
        <v>Wed</v>
      </c>
      <c r="D30" s="6" t="s">
        <v>846</v>
      </c>
      <c r="E30" s="6" t="s">
        <v>847</v>
      </c>
      <c r="F30" s="30" t="s">
        <v>563</v>
      </c>
      <c r="G30" s="30" t="s">
        <v>394</v>
      </c>
      <c r="H30" s="6" t="s">
        <v>848</v>
      </c>
      <c r="I30" s="6" t="s">
        <v>839</v>
      </c>
      <c r="J30" s="7">
        <v>40</v>
      </c>
      <c r="K30" s="31" t="s">
        <v>401</v>
      </c>
      <c r="L30" s="6"/>
    </row>
    <row r="31" spans="1:12" ht="61.5" customHeight="1" x14ac:dyDescent="0.3">
      <c r="A31" s="7">
        <v>27</v>
      </c>
      <c r="B31" s="17">
        <v>46338</v>
      </c>
      <c r="C31" s="7" t="str">
        <f t="shared" si="0"/>
        <v>Thu</v>
      </c>
      <c r="D31" s="6" t="s">
        <v>849</v>
      </c>
      <c r="E31" s="6" t="s">
        <v>850</v>
      </c>
      <c r="F31" s="30" t="s">
        <v>563</v>
      </c>
      <c r="G31" s="30" t="s">
        <v>394</v>
      </c>
      <c r="H31" s="6" t="s">
        <v>851</v>
      </c>
      <c r="I31" s="6" t="s">
        <v>839</v>
      </c>
      <c r="J31" s="7">
        <v>40</v>
      </c>
      <c r="K31" s="31" t="s">
        <v>401</v>
      </c>
      <c r="L31" s="6"/>
    </row>
    <row r="32" spans="1:12" ht="61.5" customHeight="1" x14ac:dyDescent="0.3">
      <c r="A32" s="7">
        <v>28</v>
      </c>
      <c r="B32" s="17">
        <v>46339</v>
      </c>
      <c r="C32" s="7" t="str">
        <f t="shared" si="0"/>
        <v>Fri</v>
      </c>
      <c r="D32" s="6" t="s">
        <v>852</v>
      </c>
      <c r="E32" s="6" t="s">
        <v>853</v>
      </c>
      <c r="F32" s="30" t="s">
        <v>563</v>
      </c>
      <c r="G32" s="30" t="s">
        <v>394</v>
      </c>
      <c r="H32" s="6" t="s">
        <v>854</v>
      </c>
      <c r="I32" s="6" t="s">
        <v>839</v>
      </c>
      <c r="J32" s="7">
        <v>40</v>
      </c>
      <c r="K32" s="31" t="s">
        <v>401</v>
      </c>
      <c r="L32" s="6"/>
    </row>
    <row r="33" spans="1:12" ht="61.5" customHeight="1" x14ac:dyDescent="0.3">
      <c r="A33" s="7">
        <v>29</v>
      </c>
      <c r="B33" s="17">
        <v>46340</v>
      </c>
      <c r="C33" s="7" t="str">
        <f t="shared" si="0"/>
        <v>Sat</v>
      </c>
      <c r="D33" s="6" t="s">
        <v>855</v>
      </c>
      <c r="E33" s="6" t="s">
        <v>856</v>
      </c>
      <c r="F33" s="30" t="s">
        <v>563</v>
      </c>
      <c r="G33" s="30" t="s">
        <v>394</v>
      </c>
      <c r="H33" s="6" t="s">
        <v>857</v>
      </c>
      <c r="I33" s="6" t="s">
        <v>839</v>
      </c>
      <c r="J33" s="7">
        <v>40</v>
      </c>
      <c r="K33" s="31" t="s">
        <v>401</v>
      </c>
      <c r="L33" s="6" t="s">
        <v>611</v>
      </c>
    </row>
    <row r="34" spans="1:12" ht="61.5" customHeight="1" x14ac:dyDescent="0.3">
      <c r="A34" s="7">
        <v>30</v>
      </c>
      <c r="B34" s="17">
        <v>46342</v>
      </c>
      <c r="C34" s="7" t="str">
        <f t="shared" si="0"/>
        <v>Mon</v>
      </c>
      <c r="D34" s="6" t="s">
        <v>858</v>
      </c>
      <c r="E34" s="6" t="s">
        <v>859</v>
      </c>
      <c r="F34" s="30" t="s">
        <v>613</v>
      </c>
      <c r="G34" s="30" t="s">
        <v>394</v>
      </c>
      <c r="H34" s="6" t="s">
        <v>860</v>
      </c>
      <c r="I34" s="6" t="s">
        <v>861</v>
      </c>
      <c r="J34" s="7">
        <v>40</v>
      </c>
      <c r="K34" s="31" t="s">
        <v>401</v>
      </c>
      <c r="L34" s="6"/>
    </row>
    <row r="35" spans="1:12" ht="61.5" customHeight="1" x14ac:dyDescent="0.3">
      <c r="A35" s="7">
        <v>31</v>
      </c>
      <c r="B35" s="17">
        <v>46343</v>
      </c>
      <c r="C35" s="7" t="str">
        <f t="shared" si="0"/>
        <v>Tue</v>
      </c>
      <c r="D35" s="6" t="s">
        <v>862</v>
      </c>
      <c r="E35" s="6" t="s">
        <v>863</v>
      </c>
      <c r="F35" s="30" t="s">
        <v>613</v>
      </c>
      <c r="G35" s="30" t="s">
        <v>394</v>
      </c>
      <c r="H35" s="6" t="s">
        <v>864</v>
      </c>
      <c r="I35" s="6" t="s">
        <v>861</v>
      </c>
      <c r="J35" s="7">
        <v>40</v>
      </c>
      <c r="K35" s="31" t="s">
        <v>401</v>
      </c>
      <c r="L35" s="6"/>
    </row>
    <row r="36" spans="1:12" ht="61.5" customHeight="1" x14ac:dyDescent="0.3">
      <c r="A36" s="7">
        <v>32</v>
      </c>
      <c r="B36" s="17">
        <v>46344</v>
      </c>
      <c r="C36" s="7" t="str">
        <f t="shared" si="0"/>
        <v>Wed</v>
      </c>
      <c r="D36" s="6" t="s">
        <v>865</v>
      </c>
      <c r="E36" s="6" t="s">
        <v>866</v>
      </c>
      <c r="F36" s="30" t="s">
        <v>613</v>
      </c>
      <c r="G36" s="30" t="s">
        <v>394</v>
      </c>
      <c r="H36" s="6" t="s">
        <v>867</v>
      </c>
      <c r="I36" s="6" t="s">
        <v>861</v>
      </c>
      <c r="J36" s="7">
        <v>40</v>
      </c>
      <c r="K36" s="31" t="s">
        <v>401</v>
      </c>
      <c r="L36" s="6"/>
    </row>
    <row r="37" spans="1:12" ht="61.5" customHeight="1" x14ac:dyDescent="0.3">
      <c r="A37" s="7">
        <v>33</v>
      </c>
      <c r="B37" s="17">
        <v>46345</v>
      </c>
      <c r="C37" s="7" t="str">
        <f t="shared" ref="C37:C68" si="1">TEXT(B37,"ddd")</f>
        <v>Thu</v>
      </c>
      <c r="D37" s="6" t="s">
        <v>868</v>
      </c>
      <c r="E37" s="6" t="s">
        <v>869</v>
      </c>
      <c r="F37" s="30" t="s">
        <v>613</v>
      </c>
      <c r="G37" s="30" t="s">
        <v>394</v>
      </c>
      <c r="H37" s="6" t="s">
        <v>870</v>
      </c>
      <c r="I37" s="6" t="s">
        <v>861</v>
      </c>
      <c r="J37" s="7">
        <v>40</v>
      </c>
      <c r="K37" s="31" t="s">
        <v>401</v>
      </c>
      <c r="L37" s="6"/>
    </row>
    <row r="38" spans="1:12" ht="61.5" customHeight="1" x14ac:dyDescent="0.3">
      <c r="A38" s="7">
        <v>34</v>
      </c>
      <c r="B38" s="17">
        <v>46346</v>
      </c>
      <c r="C38" s="7" t="str">
        <f t="shared" si="1"/>
        <v>Fri</v>
      </c>
      <c r="D38" s="6" t="s">
        <v>871</v>
      </c>
      <c r="E38" s="6" t="s">
        <v>872</v>
      </c>
      <c r="F38" s="30" t="s">
        <v>613</v>
      </c>
      <c r="G38" s="30" t="s">
        <v>394</v>
      </c>
      <c r="H38" s="6" t="s">
        <v>873</v>
      </c>
      <c r="I38" s="6" t="s">
        <v>861</v>
      </c>
      <c r="J38" s="7">
        <v>40</v>
      </c>
      <c r="K38" s="31" t="s">
        <v>401</v>
      </c>
      <c r="L38" s="6"/>
    </row>
    <row r="39" spans="1:12" ht="61.5" customHeight="1" x14ac:dyDescent="0.3">
      <c r="A39" s="7">
        <v>35</v>
      </c>
      <c r="B39" s="17">
        <v>46347</v>
      </c>
      <c r="C39" s="7" t="str">
        <f t="shared" si="1"/>
        <v>Sat</v>
      </c>
      <c r="D39" s="6" t="s">
        <v>874</v>
      </c>
      <c r="E39" s="6" t="s">
        <v>875</v>
      </c>
      <c r="F39" s="30" t="s">
        <v>613</v>
      </c>
      <c r="G39" s="30" t="s">
        <v>394</v>
      </c>
      <c r="H39" s="6" t="s">
        <v>876</v>
      </c>
      <c r="I39" s="6" t="s">
        <v>861</v>
      </c>
      <c r="J39" s="7">
        <v>40</v>
      </c>
      <c r="K39" s="31" t="s">
        <v>401</v>
      </c>
      <c r="L39" s="6"/>
    </row>
    <row r="40" spans="1:12" ht="61.5" customHeight="1" x14ac:dyDescent="0.3">
      <c r="A40" s="7">
        <v>36</v>
      </c>
      <c r="B40" s="17">
        <v>46349</v>
      </c>
      <c r="C40" s="7" t="str">
        <f t="shared" si="1"/>
        <v>Mon</v>
      </c>
      <c r="D40" s="6" t="s">
        <v>877</v>
      </c>
      <c r="E40" s="6" t="s">
        <v>878</v>
      </c>
      <c r="F40" s="30" t="s">
        <v>613</v>
      </c>
      <c r="G40" s="30" t="s">
        <v>394</v>
      </c>
      <c r="H40" s="6" t="s">
        <v>879</v>
      </c>
      <c r="I40" s="6" t="s">
        <v>861</v>
      </c>
      <c r="J40" s="7">
        <v>40</v>
      </c>
      <c r="K40" s="31" t="s">
        <v>401</v>
      </c>
      <c r="L40" s="6"/>
    </row>
    <row r="41" spans="1:12" ht="61.5" customHeight="1" x14ac:dyDescent="0.3">
      <c r="A41" s="7">
        <v>37</v>
      </c>
      <c r="B41" s="17">
        <v>46350</v>
      </c>
      <c r="C41" s="7" t="str">
        <f t="shared" si="1"/>
        <v>Tue</v>
      </c>
      <c r="D41" s="6" t="s">
        <v>880</v>
      </c>
      <c r="E41" s="6" t="s">
        <v>881</v>
      </c>
      <c r="F41" s="30" t="s">
        <v>613</v>
      </c>
      <c r="G41" s="30" t="s">
        <v>394</v>
      </c>
      <c r="H41" s="6" t="s">
        <v>882</v>
      </c>
      <c r="I41" s="6" t="s">
        <v>861</v>
      </c>
      <c r="J41" s="7">
        <v>40</v>
      </c>
      <c r="K41" s="31" t="s">
        <v>401</v>
      </c>
      <c r="L41" s="6"/>
    </row>
    <row r="42" spans="1:12" ht="61.5" customHeight="1" x14ac:dyDescent="0.3">
      <c r="A42" s="7">
        <v>38</v>
      </c>
      <c r="B42" s="17">
        <v>46351</v>
      </c>
      <c r="C42" s="7" t="str">
        <f t="shared" si="1"/>
        <v>Wed</v>
      </c>
      <c r="D42" s="6" t="s">
        <v>883</v>
      </c>
      <c r="E42" s="6" t="s">
        <v>884</v>
      </c>
      <c r="F42" s="30" t="s">
        <v>613</v>
      </c>
      <c r="G42" s="30" t="s">
        <v>394</v>
      </c>
      <c r="H42" s="6" t="s">
        <v>885</v>
      </c>
      <c r="I42" s="6" t="s">
        <v>861</v>
      </c>
      <c r="J42" s="7">
        <v>40</v>
      </c>
      <c r="K42" s="31" t="s">
        <v>401</v>
      </c>
      <c r="L42" s="6"/>
    </row>
    <row r="43" spans="1:12" ht="61.5" customHeight="1" x14ac:dyDescent="0.3">
      <c r="A43" s="7">
        <v>39</v>
      </c>
      <c r="B43" s="17">
        <v>46352</v>
      </c>
      <c r="C43" s="7" t="str">
        <f t="shared" si="1"/>
        <v>Thu</v>
      </c>
      <c r="D43" s="6" t="s">
        <v>886</v>
      </c>
      <c r="E43" s="6" t="s">
        <v>887</v>
      </c>
      <c r="F43" s="30" t="s">
        <v>613</v>
      </c>
      <c r="G43" s="30" t="s">
        <v>394</v>
      </c>
      <c r="H43" s="6" t="s">
        <v>888</v>
      </c>
      <c r="I43" s="6" t="s">
        <v>861</v>
      </c>
      <c r="J43" s="7">
        <v>35</v>
      </c>
      <c r="K43" s="31" t="s">
        <v>401</v>
      </c>
      <c r="L43" s="6"/>
    </row>
    <row r="44" spans="1:12" ht="61.5" customHeight="1" x14ac:dyDescent="0.3">
      <c r="A44" s="7">
        <v>40</v>
      </c>
      <c r="B44" s="17">
        <v>46353</v>
      </c>
      <c r="C44" s="7" t="str">
        <f t="shared" si="1"/>
        <v>Fri</v>
      </c>
      <c r="D44" s="6" t="s">
        <v>889</v>
      </c>
      <c r="E44" s="6" t="s">
        <v>890</v>
      </c>
      <c r="F44" s="30" t="s">
        <v>678</v>
      </c>
      <c r="G44" s="30" t="s">
        <v>394</v>
      </c>
      <c r="H44" s="6" t="s">
        <v>891</v>
      </c>
      <c r="I44" s="6" t="s">
        <v>861</v>
      </c>
      <c r="J44" s="7">
        <v>35</v>
      </c>
      <c r="K44" s="31" t="s">
        <v>401</v>
      </c>
      <c r="L44" s="6"/>
    </row>
    <row r="45" spans="1:12" ht="61.5" customHeight="1" x14ac:dyDescent="0.3">
      <c r="A45" s="7">
        <v>41</v>
      </c>
      <c r="B45" s="17">
        <v>46354</v>
      </c>
      <c r="C45" s="7" t="str">
        <f t="shared" si="1"/>
        <v>Sat</v>
      </c>
      <c r="D45" s="6" t="s">
        <v>892</v>
      </c>
      <c r="E45" s="6" t="s">
        <v>893</v>
      </c>
      <c r="F45" s="30" t="s">
        <v>613</v>
      </c>
      <c r="G45" s="30" t="s">
        <v>394</v>
      </c>
      <c r="H45" s="6" t="s">
        <v>894</v>
      </c>
      <c r="I45" s="6" t="s">
        <v>861</v>
      </c>
      <c r="J45" s="7">
        <v>35</v>
      </c>
      <c r="K45" s="31" t="s">
        <v>401</v>
      </c>
      <c r="L45" s="6" t="s">
        <v>688</v>
      </c>
    </row>
    <row r="46" spans="1:12" ht="61.5" customHeight="1" x14ac:dyDescent="0.3">
      <c r="A46" s="7">
        <v>42</v>
      </c>
      <c r="B46" s="17">
        <v>46356</v>
      </c>
      <c r="C46" s="7" t="str">
        <f t="shared" si="1"/>
        <v>Mon</v>
      </c>
      <c r="D46" s="6" t="s">
        <v>895</v>
      </c>
      <c r="E46" s="6" t="s">
        <v>896</v>
      </c>
      <c r="F46" s="30" t="s">
        <v>690</v>
      </c>
      <c r="G46" s="30" t="s">
        <v>394</v>
      </c>
      <c r="H46" s="6" t="s">
        <v>897</v>
      </c>
      <c r="I46" s="6" t="s">
        <v>898</v>
      </c>
      <c r="J46" s="7">
        <v>35</v>
      </c>
      <c r="K46" s="31" t="s">
        <v>401</v>
      </c>
      <c r="L46" s="6"/>
    </row>
    <row r="47" spans="1:12" ht="61.5" customHeight="1" x14ac:dyDescent="0.3">
      <c r="A47" s="7">
        <v>43</v>
      </c>
      <c r="B47" s="17">
        <v>46357</v>
      </c>
      <c r="C47" s="7" t="str">
        <f t="shared" si="1"/>
        <v>Tue</v>
      </c>
      <c r="D47" s="6" t="s">
        <v>899</v>
      </c>
      <c r="E47" s="6" t="s">
        <v>900</v>
      </c>
      <c r="F47" s="30" t="s">
        <v>690</v>
      </c>
      <c r="G47" s="30" t="s">
        <v>394</v>
      </c>
      <c r="H47" s="6" t="s">
        <v>901</v>
      </c>
      <c r="I47" s="6" t="s">
        <v>898</v>
      </c>
      <c r="J47" s="7">
        <v>35</v>
      </c>
      <c r="K47" s="31" t="s">
        <v>401</v>
      </c>
      <c r="L47" s="6"/>
    </row>
    <row r="48" spans="1:12" ht="61.5" customHeight="1" x14ac:dyDescent="0.3">
      <c r="A48" s="7">
        <v>44</v>
      </c>
      <c r="B48" s="17">
        <v>46358</v>
      </c>
      <c r="C48" s="7" t="str">
        <f t="shared" si="1"/>
        <v>Wed</v>
      </c>
      <c r="D48" s="6" t="s">
        <v>902</v>
      </c>
      <c r="E48" s="6" t="s">
        <v>903</v>
      </c>
      <c r="F48" s="30" t="s">
        <v>690</v>
      </c>
      <c r="G48" s="30" t="s">
        <v>394</v>
      </c>
      <c r="H48" s="6" t="s">
        <v>904</v>
      </c>
      <c r="I48" s="6" t="s">
        <v>898</v>
      </c>
      <c r="J48" s="7">
        <v>35</v>
      </c>
      <c r="K48" s="31" t="s">
        <v>401</v>
      </c>
      <c r="L48" s="6"/>
    </row>
    <row r="49" spans="1:12" ht="61.5" customHeight="1" x14ac:dyDescent="0.3">
      <c r="A49" s="7">
        <v>45</v>
      </c>
      <c r="B49" s="17">
        <v>46359</v>
      </c>
      <c r="C49" s="7" t="str">
        <f t="shared" si="1"/>
        <v>Thu</v>
      </c>
      <c r="D49" s="6" t="s">
        <v>905</v>
      </c>
      <c r="E49" s="6" t="s">
        <v>906</v>
      </c>
      <c r="F49" s="30" t="s">
        <v>690</v>
      </c>
      <c r="G49" s="30" t="s">
        <v>394</v>
      </c>
      <c r="H49" s="6" t="s">
        <v>907</v>
      </c>
      <c r="I49" s="6" t="s">
        <v>898</v>
      </c>
      <c r="J49" s="7">
        <v>35</v>
      </c>
      <c r="K49" s="31" t="s">
        <v>401</v>
      </c>
      <c r="L49" s="6"/>
    </row>
    <row r="50" spans="1:12" ht="61.5" customHeight="1" x14ac:dyDescent="0.3">
      <c r="A50" s="7">
        <v>46</v>
      </c>
      <c r="B50" s="17">
        <v>46360</v>
      </c>
      <c r="C50" s="7" t="str">
        <f t="shared" si="1"/>
        <v>Fri</v>
      </c>
      <c r="D50" s="6" t="s">
        <v>908</v>
      </c>
      <c r="E50" s="6" t="s">
        <v>909</v>
      </c>
      <c r="F50" s="30" t="s">
        <v>690</v>
      </c>
      <c r="G50" s="30" t="s">
        <v>394</v>
      </c>
      <c r="H50" s="6" t="s">
        <v>910</v>
      </c>
      <c r="I50" s="6" t="s">
        <v>898</v>
      </c>
      <c r="J50" s="7">
        <v>35</v>
      </c>
      <c r="K50" s="31" t="s">
        <v>401</v>
      </c>
      <c r="L50" s="6"/>
    </row>
    <row r="51" spans="1:12" ht="61.5" customHeight="1" x14ac:dyDescent="0.3">
      <c r="A51" s="7">
        <v>47</v>
      </c>
      <c r="B51" s="17">
        <v>46361</v>
      </c>
      <c r="C51" s="7" t="str">
        <f t="shared" si="1"/>
        <v>Sat</v>
      </c>
      <c r="D51" s="6" t="s">
        <v>911</v>
      </c>
      <c r="E51" s="6" t="s">
        <v>912</v>
      </c>
      <c r="F51" s="30" t="s">
        <v>690</v>
      </c>
      <c r="G51" s="30" t="s">
        <v>394</v>
      </c>
      <c r="H51" s="6" t="s">
        <v>913</v>
      </c>
      <c r="I51" s="6" t="s">
        <v>898</v>
      </c>
      <c r="J51" s="7">
        <v>35</v>
      </c>
      <c r="K51" s="31" t="s">
        <v>401</v>
      </c>
      <c r="L51" s="6"/>
    </row>
    <row r="52" spans="1:12" ht="61.5" customHeight="1" x14ac:dyDescent="0.3">
      <c r="A52" s="7">
        <v>48</v>
      </c>
      <c r="B52" s="17">
        <v>46363</v>
      </c>
      <c r="C52" s="7" t="str">
        <f t="shared" si="1"/>
        <v>Mon</v>
      </c>
      <c r="D52" s="6" t="s">
        <v>914</v>
      </c>
      <c r="E52" s="6" t="s">
        <v>915</v>
      </c>
      <c r="F52" s="30" t="s">
        <v>690</v>
      </c>
      <c r="G52" s="30" t="s">
        <v>394</v>
      </c>
      <c r="H52" s="6" t="s">
        <v>916</v>
      </c>
      <c r="I52" s="6" t="s">
        <v>898</v>
      </c>
      <c r="J52" s="7">
        <v>40</v>
      </c>
      <c r="K52" s="31" t="s">
        <v>401</v>
      </c>
      <c r="L52" s="6"/>
    </row>
    <row r="53" spans="1:12" ht="61.5" customHeight="1" x14ac:dyDescent="0.3">
      <c r="A53" s="7">
        <v>49</v>
      </c>
      <c r="B53" s="17">
        <v>46364</v>
      </c>
      <c r="C53" s="7" t="str">
        <f t="shared" si="1"/>
        <v>Tue</v>
      </c>
      <c r="D53" s="6" t="s">
        <v>917</v>
      </c>
      <c r="E53" s="6" t="s">
        <v>918</v>
      </c>
      <c r="F53" s="30" t="s">
        <v>738</v>
      </c>
      <c r="G53" s="30" t="s">
        <v>394</v>
      </c>
      <c r="H53" s="6" t="s">
        <v>919</v>
      </c>
      <c r="I53" s="6" t="s">
        <v>898</v>
      </c>
      <c r="J53" s="7">
        <v>40</v>
      </c>
      <c r="K53" s="31" t="s">
        <v>401</v>
      </c>
      <c r="L53" s="6"/>
    </row>
    <row r="54" spans="1:12" ht="61.5" customHeight="1" x14ac:dyDescent="0.3">
      <c r="A54" s="7">
        <v>50</v>
      </c>
      <c r="B54" s="17">
        <v>46365</v>
      </c>
      <c r="C54" s="7" t="str">
        <f t="shared" si="1"/>
        <v>Wed</v>
      </c>
      <c r="D54" s="6" t="s">
        <v>920</v>
      </c>
      <c r="E54" s="6" t="s">
        <v>921</v>
      </c>
      <c r="F54" s="30" t="s">
        <v>738</v>
      </c>
      <c r="G54" s="30" t="s">
        <v>394</v>
      </c>
      <c r="H54" s="6" t="s">
        <v>922</v>
      </c>
      <c r="I54" s="6" t="s">
        <v>898</v>
      </c>
      <c r="J54" s="7">
        <v>40</v>
      </c>
      <c r="K54" s="31" t="s">
        <v>401</v>
      </c>
      <c r="L54" s="6"/>
    </row>
    <row r="55" spans="1:12" ht="61.5" customHeight="1" x14ac:dyDescent="0.3">
      <c r="A55" s="7">
        <v>51</v>
      </c>
      <c r="B55" s="17">
        <v>46366</v>
      </c>
      <c r="C55" s="7" t="str">
        <f t="shared" si="1"/>
        <v>Thu</v>
      </c>
      <c r="D55" s="6" t="s">
        <v>923</v>
      </c>
      <c r="E55" s="6" t="s">
        <v>924</v>
      </c>
      <c r="F55" s="30" t="s">
        <v>749</v>
      </c>
      <c r="G55" s="30" t="s">
        <v>394</v>
      </c>
      <c r="H55" s="6" t="s">
        <v>925</v>
      </c>
      <c r="I55" s="6" t="s">
        <v>926</v>
      </c>
      <c r="J55" s="7">
        <v>40</v>
      </c>
      <c r="K55" s="31" t="s">
        <v>401</v>
      </c>
      <c r="L55" s="6" t="s">
        <v>754</v>
      </c>
    </row>
    <row r="56" spans="1:12" ht="61.5" customHeight="1" x14ac:dyDescent="0.3">
      <c r="A56" s="7">
        <v>52</v>
      </c>
      <c r="B56" s="17">
        <v>46385</v>
      </c>
      <c r="C56" s="7" t="str">
        <f t="shared" si="1"/>
        <v>Tue</v>
      </c>
      <c r="D56" s="6" t="s">
        <v>927</v>
      </c>
      <c r="E56" s="6" t="s">
        <v>928</v>
      </c>
      <c r="F56" s="30" t="s">
        <v>563</v>
      </c>
      <c r="G56" s="30" t="s">
        <v>394</v>
      </c>
      <c r="H56" s="6" t="s">
        <v>929</v>
      </c>
      <c r="I56" s="6" t="s">
        <v>926</v>
      </c>
      <c r="J56" s="7">
        <v>40</v>
      </c>
      <c r="K56" s="31" t="s">
        <v>401</v>
      </c>
      <c r="L56" s="6" t="s">
        <v>930</v>
      </c>
    </row>
    <row r="57" spans="1:12" x14ac:dyDescent="0.3">
      <c r="I57" s="1" t="s">
        <v>931</v>
      </c>
      <c r="J57" s="1">
        <f>SUM(J5:J56)</f>
        <v>1955</v>
      </c>
    </row>
  </sheetData>
  <mergeCells count="2">
    <mergeCell ref="A2:F2"/>
    <mergeCell ref="A1:F1"/>
  </mergeCells>
  <conditionalFormatting sqref="K5:K56">
    <cfRule type="cellIs" dxfId="7" priority="2" operator="equal">
      <formula>"Done"</formula>
    </cfRule>
    <cfRule type="cellIs" dxfId="6" priority="3" operator="equal">
      <formula>"In Progress"</formula>
    </cfRule>
  </conditionalFormatting>
  <dataValidations count="1">
    <dataValidation type="list" allowBlank="1" sqref="K5:K56" xr:uid="{00000000-0002-0000-0900-000000000000}">
      <formula1>"Not Started,In Progress,Done"</formula1>
      <formula2>0</formula2>
    </dataValidation>
  </dataValidations>
  <hyperlinks>
    <hyperlink ref="F5" r:id="rId1" xr:uid="{00000000-0004-0000-0900-000000000000}"/>
    <hyperlink ref="G5" r:id="rId2" xr:uid="{00000000-0004-0000-0900-000001000000}"/>
    <hyperlink ref="F6" r:id="rId3" xr:uid="{00000000-0004-0000-0900-000002000000}"/>
    <hyperlink ref="G6" r:id="rId4" xr:uid="{00000000-0004-0000-0900-000003000000}"/>
    <hyperlink ref="F7" r:id="rId5" xr:uid="{00000000-0004-0000-0900-000004000000}"/>
    <hyperlink ref="G7" r:id="rId6" xr:uid="{00000000-0004-0000-0900-000005000000}"/>
    <hyperlink ref="F8" r:id="rId7" xr:uid="{00000000-0004-0000-0900-000006000000}"/>
    <hyperlink ref="G8" r:id="rId8" xr:uid="{00000000-0004-0000-0900-000007000000}"/>
    <hyperlink ref="F9" r:id="rId9" xr:uid="{00000000-0004-0000-0900-000008000000}"/>
    <hyperlink ref="G9" r:id="rId10" xr:uid="{00000000-0004-0000-0900-000009000000}"/>
    <hyperlink ref="F10" r:id="rId11" xr:uid="{00000000-0004-0000-0900-00000A000000}"/>
    <hyperlink ref="G10" r:id="rId12" xr:uid="{00000000-0004-0000-0900-00000B000000}"/>
    <hyperlink ref="F11" r:id="rId13" xr:uid="{00000000-0004-0000-0900-00000C000000}"/>
    <hyperlink ref="G11" r:id="rId14" xr:uid="{00000000-0004-0000-0900-00000D000000}"/>
    <hyperlink ref="F12" r:id="rId15" xr:uid="{00000000-0004-0000-0900-00000E000000}"/>
    <hyperlink ref="G12" r:id="rId16" xr:uid="{00000000-0004-0000-0900-00000F000000}"/>
    <hyperlink ref="F13" r:id="rId17" xr:uid="{00000000-0004-0000-0900-000010000000}"/>
    <hyperlink ref="G13" r:id="rId18" xr:uid="{00000000-0004-0000-0900-000011000000}"/>
    <hyperlink ref="F14" r:id="rId19" xr:uid="{00000000-0004-0000-0900-000012000000}"/>
    <hyperlink ref="G14" r:id="rId20" xr:uid="{00000000-0004-0000-0900-000013000000}"/>
    <hyperlink ref="F15" r:id="rId21" xr:uid="{00000000-0004-0000-0900-000014000000}"/>
    <hyperlink ref="G15" r:id="rId22" xr:uid="{00000000-0004-0000-0900-000015000000}"/>
    <hyperlink ref="F16" r:id="rId23" xr:uid="{00000000-0004-0000-0900-000016000000}"/>
    <hyperlink ref="G16" r:id="rId24" xr:uid="{00000000-0004-0000-0900-000017000000}"/>
    <hyperlink ref="F17" r:id="rId25" xr:uid="{00000000-0004-0000-0900-000018000000}"/>
    <hyperlink ref="G17" r:id="rId26" xr:uid="{00000000-0004-0000-0900-000019000000}"/>
    <hyperlink ref="F18" r:id="rId27" xr:uid="{00000000-0004-0000-0900-00001A000000}"/>
    <hyperlink ref="G18" r:id="rId28" xr:uid="{00000000-0004-0000-0900-00001B000000}"/>
    <hyperlink ref="F19" r:id="rId29" xr:uid="{00000000-0004-0000-0900-00001C000000}"/>
    <hyperlink ref="G19" r:id="rId30" xr:uid="{00000000-0004-0000-0900-00001D000000}"/>
    <hyperlink ref="F20" r:id="rId31" xr:uid="{00000000-0004-0000-0900-00001E000000}"/>
    <hyperlink ref="G20" r:id="rId32" xr:uid="{00000000-0004-0000-0900-00001F000000}"/>
    <hyperlink ref="F21" r:id="rId33" xr:uid="{00000000-0004-0000-0900-000020000000}"/>
    <hyperlink ref="G21" r:id="rId34" xr:uid="{00000000-0004-0000-0900-000021000000}"/>
    <hyperlink ref="F22" r:id="rId35" xr:uid="{00000000-0004-0000-0900-000022000000}"/>
    <hyperlink ref="G22" r:id="rId36" xr:uid="{00000000-0004-0000-0900-000023000000}"/>
    <hyperlink ref="F23" r:id="rId37" xr:uid="{00000000-0004-0000-0900-000024000000}"/>
    <hyperlink ref="G23" r:id="rId38" xr:uid="{00000000-0004-0000-0900-000025000000}"/>
    <hyperlink ref="F24" r:id="rId39" xr:uid="{00000000-0004-0000-0900-000026000000}"/>
    <hyperlink ref="G24" r:id="rId40" xr:uid="{00000000-0004-0000-0900-000027000000}"/>
    <hyperlink ref="F25" r:id="rId41" xr:uid="{00000000-0004-0000-0900-000028000000}"/>
    <hyperlink ref="G25" r:id="rId42" xr:uid="{00000000-0004-0000-0900-000029000000}"/>
    <hyperlink ref="F26" r:id="rId43" xr:uid="{00000000-0004-0000-0900-00002A000000}"/>
    <hyperlink ref="G26" r:id="rId44" xr:uid="{00000000-0004-0000-0900-00002B000000}"/>
    <hyperlink ref="F27" r:id="rId45" xr:uid="{00000000-0004-0000-0900-00002C000000}"/>
    <hyperlink ref="G27" r:id="rId46" xr:uid="{00000000-0004-0000-0900-00002D000000}"/>
    <hyperlink ref="F28" r:id="rId47" xr:uid="{00000000-0004-0000-0900-00002E000000}"/>
    <hyperlink ref="G28" r:id="rId48" xr:uid="{00000000-0004-0000-0900-00002F000000}"/>
    <hyperlink ref="F29" r:id="rId49" xr:uid="{00000000-0004-0000-0900-000030000000}"/>
    <hyperlink ref="G29" r:id="rId50" xr:uid="{00000000-0004-0000-0900-000031000000}"/>
    <hyperlink ref="F30" r:id="rId51" xr:uid="{00000000-0004-0000-0900-000032000000}"/>
    <hyperlink ref="G30" r:id="rId52" xr:uid="{00000000-0004-0000-0900-000033000000}"/>
    <hyperlink ref="F31" r:id="rId53" xr:uid="{00000000-0004-0000-0900-000034000000}"/>
    <hyperlink ref="G31" r:id="rId54" xr:uid="{00000000-0004-0000-0900-000035000000}"/>
    <hyperlink ref="F32" r:id="rId55" xr:uid="{00000000-0004-0000-0900-000036000000}"/>
    <hyperlink ref="G32" r:id="rId56" xr:uid="{00000000-0004-0000-0900-000037000000}"/>
    <hyperlink ref="F33" r:id="rId57" xr:uid="{00000000-0004-0000-0900-000038000000}"/>
    <hyperlink ref="G33" r:id="rId58" xr:uid="{00000000-0004-0000-0900-000039000000}"/>
    <hyperlink ref="F34" r:id="rId59" xr:uid="{00000000-0004-0000-0900-00003A000000}"/>
    <hyperlink ref="G34" r:id="rId60" xr:uid="{00000000-0004-0000-0900-00003B000000}"/>
    <hyperlink ref="F35" r:id="rId61" xr:uid="{00000000-0004-0000-0900-00003C000000}"/>
    <hyperlink ref="G35" r:id="rId62" xr:uid="{00000000-0004-0000-0900-00003D000000}"/>
    <hyperlink ref="F36" r:id="rId63" xr:uid="{00000000-0004-0000-0900-00003E000000}"/>
    <hyperlink ref="G36" r:id="rId64" xr:uid="{00000000-0004-0000-0900-00003F000000}"/>
    <hyperlink ref="F37" r:id="rId65" xr:uid="{00000000-0004-0000-0900-000040000000}"/>
    <hyperlink ref="G37" r:id="rId66" xr:uid="{00000000-0004-0000-0900-000041000000}"/>
    <hyperlink ref="F38" r:id="rId67" xr:uid="{00000000-0004-0000-0900-000042000000}"/>
    <hyperlink ref="G38" r:id="rId68" xr:uid="{00000000-0004-0000-0900-000043000000}"/>
    <hyperlink ref="F39" r:id="rId69" xr:uid="{00000000-0004-0000-0900-000044000000}"/>
    <hyperlink ref="G39" r:id="rId70" xr:uid="{00000000-0004-0000-0900-000045000000}"/>
    <hyperlink ref="F40" r:id="rId71" xr:uid="{00000000-0004-0000-0900-000046000000}"/>
    <hyperlink ref="G40" r:id="rId72" xr:uid="{00000000-0004-0000-0900-000047000000}"/>
    <hyperlink ref="F41" r:id="rId73" xr:uid="{00000000-0004-0000-0900-000048000000}"/>
    <hyperlink ref="G41" r:id="rId74" xr:uid="{00000000-0004-0000-0900-000049000000}"/>
    <hyperlink ref="F42" r:id="rId75" xr:uid="{00000000-0004-0000-0900-00004A000000}"/>
    <hyperlink ref="G42" r:id="rId76" xr:uid="{00000000-0004-0000-0900-00004B000000}"/>
    <hyperlink ref="F43" r:id="rId77" xr:uid="{00000000-0004-0000-0900-00004C000000}"/>
    <hyperlink ref="G43" r:id="rId78" xr:uid="{00000000-0004-0000-0900-00004D000000}"/>
    <hyperlink ref="F44" r:id="rId79" xr:uid="{00000000-0004-0000-0900-00004E000000}"/>
    <hyperlink ref="G44" r:id="rId80" xr:uid="{00000000-0004-0000-0900-00004F000000}"/>
    <hyperlink ref="F45" r:id="rId81" xr:uid="{00000000-0004-0000-0900-000050000000}"/>
    <hyperlink ref="G45" r:id="rId82" xr:uid="{00000000-0004-0000-0900-000051000000}"/>
    <hyperlink ref="F46" r:id="rId83" xr:uid="{00000000-0004-0000-0900-000052000000}"/>
    <hyperlink ref="G46" r:id="rId84" xr:uid="{00000000-0004-0000-0900-000053000000}"/>
    <hyperlink ref="F47" r:id="rId85" xr:uid="{00000000-0004-0000-0900-000054000000}"/>
    <hyperlink ref="G47" r:id="rId86" xr:uid="{00000000-0004-0000-0900-000055000000}"/>
    <hyperlink ref="F48" r:id="rId87" xr:uid="{00000000-0004-0000-0900-000056000000}"/>
    <hyperlink ref="G48" r:id="rId88" xr:uid="{00000000-0004-0000-0900-000057000000}"/>
    <hyperlink ref="F49" r:id="rId89" xr:uid="{00000000-0004-0000-0900-000058000000}"/>
    <hyperlink ref="G49" r:id="rId90" xr:uid="{00000000-0004-0000-0900-000059000000}"/>
    <hyperlink ref="F50" r:id="rId91" xr:uid="{00000000-0004-0000-0900-00005A000000}"/>
    <hyperlink ref="G50" r:id="rId92" xr:uid="{00000000-0004-0000-0900-00005B000000}"/>
    <hyperlink ref="F51" r:id="rId93" xr:uid="{00000000-0004-0000-0900-00005C000000}"/>
    <hyperlink ref="G51" r:id="rId94" xr:uid="{00000000-0004-0000-0900-00005D000000}"/>
    <hyperlink ref="F52" r:id="rId95" xr:uid="{00000000-0004-0000-0900-00005E000000}"/>
    <hyperlink ref="G52" r:id="rId96" xr:uid="{00000000-0004-0000-0900-00005F000000}"/>
    <hyperlink ref="F53" r:id="rId97" xr:uid="{00000000-0004-0000-0900-000060000000}"/>
    <hyperlink ref="G53" r:id="rId98" xr:uid="{00000000-0004-0000-0900-000061000000}"/>
    <hyperlink ref="F54" r:id="rId99" xr:uid="{00000000-0004-0000-0900-000062000000}"/>
    <hyperlink ref="G54" r:id="rId100" xr:uid="{00000000-0004-0000-0900-000063000000}"/>
    <hyperlink ref="F55" r:id="rId101" xr:uid="{00000000-0004-0000-0900-000064000000}"/>
    <hyperlink ref="G55" r:id="rId102" xr:uid="{00000000-0004-0000-0900-000065000000}"/>
    <hyperlink ref="F56" r:id="rId103" xr:uid="{00000000-0004-0000-0900-000066000000}"/>
    <hyperlink ref="G56" r:id="rId104" xr:uid="{00000000-0004-0000-0900-00006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3"/>
  <sheetViews>
    <sheetView zoomScaleNormal="100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C5" sqref="C5:G5"/>
    </sheetView>
  </sheetViews>
  <sheetFormatPr defaultColWidth="8.6640625" defaultRowHeight="14.4" x14ac:dyDescent="0.3"/>
  <cols>
    <col min="1" max="1" width="7" customWidth="1"/>
    <col min="2" max="2" width="11" customWidth="1"/>
    <col min="3" max="3" width="6" customWidth="1"/>
    <col min="4" max="4" width="10" customWidth="1"/>
    <col min="5" max="5" width="40" customWidth="1"/>
    <col min="6" max="6" width="50" customWidth="1"/>
    <col min="7" max="7" width="44" customWidth="1"/>
    <col min="8" max="8" width="16" customWidth="1"/>
    <col min="9" max="9" width="10" customWidth="1"/>
    <col min="10" max="10" width="14" customWidth="1"/>
    <col min="11" max="11" width="28" customWidth="1"/>
  </cols>
  <sheetData>
    <row r="1" spans="1:11" ht="17.399999999999999" customHeight="1" x14ac:dyDescent="0.3">
      <c r="A1" s="34" t="s">
        <v>932</v>
      </c>
      <c r="B1" s="33"/>
      <c r="C1" s="33"/>
      <c r="D1" s="33"/>
      <c r="E1" s="33"/>
      <c r="F1" s="33"/>
      <c r="G1" s="33"/>
    </row>
    <row r="2" spans="1:11" x14ac:dyDescent="0.3">
      <c r="A2" s="32" t="s">
        <v>933</v>
      </c>
      <c r="B2" s="33"/>
      <c r="C2" s="33"/>
      <c r="D2" s="33"/>
      <c r="E2" s="33"/>
      <c r="F2" s="33"/>
      <c r="G2" s="33"/>
    </row>
    <row r="4" spans="1:11" x14ac:dyDescent="0.3">
      <c r="A4" s="1" t="s">
        <v>934</v>
      </c>
    </row>
    <row r="5" spans="1:11" x14ac:dyDescent="0.3">
      <c r="A5" s="37" t="s">
        <v>935</v>
      </c>
      <c r="B5" s="33"/>
      <c r="C5" s="38" t="s">
        <v>936</v>
      </c>
      <c r="D5" s="33"/>
      <c r="E5" s="33"/>
      <c r="F5" s="33"/>
      <c r="G5" s="33"/>
    </row>
    <row r="6" spans="1:11" x14ac:dyDescent="0.3">
      <c r="A6" s="37" t="s">
        <v>937</v>
      </c>
      <c r="B6" s="33"/>
      <c r="C6" s="38" t="s">
        <v>938</v>
      </c>
      <c r="D6" s="33"/>
      <c r="E6" s="33"/>
      <c r="F6" s="33"/>
      <c r="G6" s="33"/>
    </row>
    <row r="7" spans="1:11" x14ac:dyDescent="0.3">
      <c r="A7" s="37" t="s">
        <v>939</v>
      </c>
      <c r="B7" s="33"/>
      <c r="C7" s="38" t="s">
        <v>940</v>
      </c>
      <c r="D7" s="33"/>
      <c r="E7" s="33"/>
      <c r="F7" s="33"/>
      <c r="G7" s="33"/>
    </row>
    <row r="8" spans="1:11" ht="68.400000000000006" customHeight="1" x14ac:dyDescent="0.3">
      <c r="A8" s="37" t="s">
        <v>372</v>
      </c>
      <c r="B8" s="33"/>
      <c r="C8" s="29" t="s">
        <v>941</v>
      </c>
      <c r="D8" s="29" t="s">
        <v>942</v>
      </c>
      <c r="E8" s="29" t="s">
        <v>943</v>
      </c>
      <c r="F8" s="29" t="s">
        <v>944</v>
      </c>
      <c r="G8" s="29" t="s">
        <v>945</v>
      </c>
    </row>
    <row r="10" spans="1:11" ht="39.75" customHeight="1" x14ac:dyDescent="0.3">
      <c r="A10" s="5" t="s">
        <v>377</v>
      </c>
      <c r="B10" s="5" t="s">
        <v>190</v>
      </c>
      <c r="C10" s="5" t="s">
        <v>191</v>
      </c>
      <c r="D10" s="5" t="s">
        <v>946</v>
      </c>
      <c r="E10" s="5" t="s">
        <v>947</v>
      </c>
      <c r="F10" s="5" t="s">
        <v>948</v>
      </c>
      <c r="G10" s="5" t="s">
        <v>949</v>
      </c>
      <c r="H10" s="5" t="s">
        <v>766</v>
      </c>
      <c r="I10" s="5" t="s">
        <v>769</v>
      </c>
      <c r="J10" s="5" t="s">
        <v>950</v>
      </c>
      <c r="K10" s="5" t="s">
        <v>390</v>
      </c>
    </row>
    <row r="11" spans="1:11" ht="51.75" customHeight="1" x14ac:dyDescent="0.3">
      <c r="A11" s="7">
        <v>1</v>
      </c>
      <c r="B11" s="17">
        <v>46308</v>
      </c>
      <c r="C11" s="7" t="str">
        <f t="shared" ref="C11:C42" si="0">TEXT(B11,"ddd")</f>
        <v>Tue</v>
      </c>
      <c r="D11" s="7" t="s">
        <v>951</v>
      </c>
      <c r="E11" s="6" t="s">
        <v>952</v>
      </c>
      <c r="F11" s="6" t="s">
        <v>953</v>
      </c>
      <c r="G11" s="30" t="s">
        <v>938</v>
      </c>
      <c r="H11" s="30" t="s">
        <v>954</v>
      </c>
      <c r="I11" s="7">
        <v>15</v>
      </c>
      <c r="J11" s="31" t="s">
        <v>401</v>
      </c>
      <c r="K11" s="6"/>
    </row>
    <row r="12" spans="1:11" ht="51.75" customHeight="1" x14ac:dyDescent="0.3">
      <c r="A12" s="7">
        <v>2</v>
      </c>
      <c r="B12" s="17">
        <v>46309</v>
      </c>
      <c r="C12" s="7" t="str">
        <f t="shared" si="0"/>
        <v>Wed</v>
      </c>
      <c r="D12" s="7" t="s">
        <v>951</v>
      </c>
      <c r="E12" s="6" t="s">
        <v>955</v>
      </c>
      <c r="F12" s="6" t="s">
        <v>953</v>
      </c>
      <c r="G12" s="30" t="s">
        <v>938</v>
      </c>
      <c r="H12" s="30" t="s">
        <v>954</v>
      </c>
      <c r="I12" s="7">
        <v>15</v>
      </c>
      <c r="J12" s="31" t="s">
        <v>401</v>
      </c>
      <c r="K12" s="6"/>
    </row>
    <row r="13" spans="1:11" ht="51.75" customHeight="1" x14ac:dyDescent="0.3">
      <c r="A13" s="7">
        <v>3</v>
      </c>
      <c r="B13" s="17">
        <v>46310</v>
      </c>
      <c r="C13" s="7" t="str">
        <f t="shared" si="0"/>
        <v>Thu</v>
      </c>
      <c r="D13" s="7" t="s">
        <v>951</v>
      </c>
      <c r="E13" s="6" t="s">
        <v>956</v>
      </c>
      <c r="F13" s="6" t="s">
        <v>953</v>
      </c>
      <c r="G13" s="30" t="s">
        <v>938</v>
      </c>
      <c r="H13" s="30" t="s">
        <v>954</v>
      </c>
      <c r="I13" s="7">
        <v>15</v>
      </c>
      <c r="J13" s="31" t="s">
        <v>401</v>
      </c>
      <c r="K13" s="6"/>
    </row>
    <row r="14" spans="1:11" ht="51.75" customHeight="1" x14ac:dyDescent="0.3">
      <c r="A14" s="7">
        <v>4</v>
      </c>
      <c r="B14" s="17">
        <v>46311</v>
      </c>
      <c r="C14" s="7" t="str">
        <f t="shared" si="0"/>
        <v>Fri</v>
      </c>
      <c r="D14" s="7" t="s">
        <v>951</v>
      </c>
      <c r="E14" s="6" t="s">
        <v>957</v>
      </c>
      <c r="F14" s="6" t="s">
        <v>953</v>
      </c>
      <c r="G14" s="30" t="s">
        <v>938</v>
      </c>
      <c r="H14" s="30" t="s">
        <v>954</v>
      </c>
      <c r="I14" s="7">
        <v>15</v>
      </c>
      <c r="J14" s="31" t="s">
        <v>401</v>
      </c>
      <c r="K14" s="6"/>
    </row>
    <row r="15" spans="1:11" ht="51.75" customHeight="1" x14ac:dyDescent="0.3">
      <c r="A15" s="7">
        <v>5</v>
      </c>
      <c r="B15" s="17">
        <v>46312</v>
      </c>
      <c r="C15" s="7" t="str">
        <f t="shared" si="0"/>
        <v>Sat</v>
      </c>
      <c r="D15" s="7" t="s">
        <v>951</v>
      </c>
      <c r="E15" s="6" t="s">
        <v>958</v>
      </c>
      <c r="F15" s="6" t="s">
        <v>953</v>
      </c>
      <c r="G15" s="30" t="s">
        <v>938</v>
      </c>
      <c r="H15" s="30" t="s">
        <v>954</v>
      </c>
      <c r="I15" s="7">
        <v>15</v>
      </c>
      <c r="J15" s="31" t="s">
        <v>401</v>
      </c>
      <c r="K15" s="6"/>
    </row>
    <row r="16" spans="1:11" ht="51.75" customHeight="1" x14ac:dyDescent="0.3">
      <c r="A16" s="7">
        <v>6</v>
      </c>
      <c r="B16" s="17">
        <v>46314</v>
      </c>
      <c r="C16" s="7" t="str">
        <f t="shared" si="0"/>
        <v>Mon</v>
      </c>
      <c r="D16" s="7" t="s">
        <v>951</v>
      </c>
      <c r="E16" s="6" t="s">
        <v>959</v>
      </c>
      <c r="F16" s="6" t="s">
        <v>953</v>
      </c>
      <c r="G16" s="30" t="s">
        <v>938</v>
      </c>
      <c r="H16" s="30" t="s">
        <v>954</v>
      </c>
      <c r="I16" s="7">
        <v>20</v>
      </c>
      <c r="J16" s="31" t="s">
        <v>401</v>
      </c>
      <c r="K16" s="6"/>
    </row>
    <row r="17" spans="1:11" ht="51.75" customHeight="1" x14ac:dyDescent="0.3">
      <c r="A17" s="7">
        <v>7</v>
      </c>
      <c r="B17" s="17">
        <v>46315</v>
      </c>
      <c r="C17" s="7" t="str">
        <f t="shared" si="0"/>
        <v>Tue</v>
      </c>
      <c r="D17" s="7" t="s">
        <v>951</v>
      </c>
      <c r="E17" s="6" t="s">
        <v>960</v>
      </c>
      <c r="F17" s="6" t="s">
        <v>953</v>
      </c>
      <c r="G17" s="30" t="s">
        <v>938</v>
      </c>
      <c r="H17" s="30" t="s">
        <v>954</v>
      </c>
      <c r="I17" s="7">
        <v>20</v>
      </c>
      <c r="J17" s="31" t="s">
        <v>401</v>
      </c>
      <c r="K17" s="6"/>
    </row>
    <row r="18" spans="1:11" ht="51.75" customHeight="1" x14ac:dyDescent="0.3">
      <c r="A18" s="7">
        <v>8</v>
      </c>
      <c r="B18" s="17">
        <v>46316</v>
      </c>
      <c r="C18" s="7" t="str">
        <f t="shared" si="0"/>
        <v>Wed</v>
      </c>
      <c r="D18" s="7" t="s">
        <v>951</v>
      </c>
      <c r="E18" s="6" t="s">
        <v>961</v>
      </c>
      <c r="F18" s="6" t="s">
        <v>953</v>
      </c>
      <c r="G18" s="30" t="s">
        <v>936</v>
      </c>
      <c r="H18" s="30" t="s">
        <v>954</v>
      </c>
      <c r="I18" s="7">
        <v>20</v>
      </c>
      <c r="J18" s="31" t="s">
        <v>401</v>
      </c>
      <c r="K18" s="6"/>
    </row>
    <row r="19" spans="1:11" ht="51.75" customHeight="1" x14ac:dyDescent="0.3">
      <c r="A19" s="7">
        <v>9</v>
      </c>
      <c r="B19" s="17">
        <v>46317</v>
      </c>
      <c r="C19" s="7" t="str">
        <f t="shared" si="0"/>
        <v>Thu</v>
      </c>
      <c r="D19" s="7" t="s">
        <v>951</v>
      </c>
      <c r="E19" s="6" t="s">
        <v>962</v>
      </c>
      <c r="F19" s="6" t="s">
        <v>953</v>
      </c>
      <c r="G19" s="30" t="s">
        <v>936</v>
      </c>
      <c r="H19" s="30" t="s">
        <v>954</v>
      </c>
      <c r="I19" s="7">
        <v>20</v>
      </c>
      <c r="J19" s="31" t="s">
        <v>401</v>
      </c>
      <c r="K19" s="6"/>
    </row>
    <row r="20" spans="1:11" ht="51.75" customHeight="1" x14ac:dyDescent="0.3">
      <c r="A20" s="7">
        <v>10</v>
      </c>
      <c r="B20" s="17">
        <v>46318</v>
      </c>
      <c r="C20" s="7" t="str">
        <f t="shared" si="0"/>
        <v>Fri</v>
      </c>
      <c r="D20" s="7" t="s">
        <v>951</v>
      </c>
      <c r="E20" s="6" t="s">
        <v>963</v>
      </c>
      <c r="F20" s="6" t="s">
        <v>953</v>
      </c>
      <c r="G20" s="30" t="s">
        <v>936</v>
      </c>
      <c r="H20" s="30" t="s">
        <v>954</v>
      </c>
      <c r="I20" s="7">
        <v>20</v>
      </c>
      <c r="J20" s="31" t="s">
        <v>401</v>
      </c>
      <c r="K20" s="6"/>
    </row>
    <row r="21" spans="1:11" ht="51.75" customHeight="1" x14ac:dyDescent="0.3">
      <c r="A21" s="7">
        <v>11</v>
      </c>
      <c r="B21" s="17">
        <v>46319</v>
      </c>
      <c r="C21" s="7" t="str">
        <f t="shared" si="0"/>
        <v>Sat</v>
      </c>
      <c r="D21" s="7" t="s">
        <v>951</v>
      </c>
      <c r="E21" s="6" t="s">
        <v>964</v>
      </c>
      <c r="F21" s="6" t="s">
        <v>953</v>
      </c>
      <c r="G21" s="30" t="s">
        <v>936</v>
      </c>
      <c r="H21" s="30" t="s">
        <v>954</v>
      </c>
      <c r="I21" s="7">
        <v>20</v>
      </c>
      <c r="J21" s="31" t="s">
        <v>401</v>
      </c>
      <c r="K21" s="6"/>
    </row>
    <row r="22" spans="1:11" ht="51.75" customHeight="1" x14ac:dyDescent="0.3">
      <c r="A22" s="7">
        <v>12</v>
      </c>
      <c r="B22" s="17">
        <v>46321</v>
      </c>
      <c r="C22" s="7" t="str">
        <f t="shared" si="0"/>
        <v>Mon</v>
      </c>
      <c r="D22" s="7" t="s">
        <v>951</v>
      </c>
      <c r="E22" s="6" t="s">
        <v>965</v>
      </c>
      <c r="F22" s="6" t="s">
        <v>953</v>
      </c>
      <c r="G22" s="30" t="s">
        <v>936</v>
      </c>
      <c r="H22" s="30" t="s">
        <v>954</v>
      </c>
      <c r="I22" s="7">
        <v>20</v>
      </c>
      <c r="J22" s="31" t="s">
        <v>401</v>
      </c>
      <c r="K22" s="6"/>
    </row>
    <row r="23" spans="1:11" ht="51.75" customHeight="1" x14ac:dyDescent="0.3">
      <c r="A23" s="7">
        <v>13</v>
      </c>
      <c r="B23" s="17">
        <v>46322</v>
      </c>
      <c r="C23" s="7" t="str">
        <f t="shared" si="0"/>
        <v>Tue</v>
      </c>
      <c r="D23" s="7" t="s">
        <v>951</v>
      </c>
      <c r="E23" s="6" t="s">
        <v>966</v>
      </c>
      <c r="F23" s="6" t="s">
        <v>953</v>
      </c>
      <c r="G23" s="30" t="s">
        <v>938</v>
      </c>
      <c r="H23" s="30" t="s">
        <v>954</v>
      </c>
      <c r="I23" s="7">
        <v>20</v>
      </c>
      <c r="J23" s="31" t="s">
        <v>401</v>
      </c>
      <c r="K23" s="6"/>
    </row>
    <row r="24" spans="1:11" ht="51.75" customHeight="1" x14ac:dyDescent="0.3">
      <c r="A24" s="7">
        <v>14</v>
      </c>
      <c r="B24" s="17">
        <v>46323</v>
      </c>
      <c r="C24" s="7" t="str">
        <f t="shared" si="0"/>
        <v>Wed</v>
      </c>
      <c r="D24" s="7" t="s">
        <v>951</v>
      </c>
      <c r="E24" s="6" t="s">
        <v>967</v>
      </c>
      <c r="F24" s="6" t="s">
        <v>953</v>
      </c>
      <c r="G24" s="30" t="s">
        <v>938</v>
      </c>
      <c r="H24" s="30" t="s">
        <v>954</v>
      </c>
      <c r="I24" s="7">
        <v>20</v>
      </c>
      <c r="J24" s="31" t="s">
        <v>401</v>
      </c>
      <c r="K24" s="6"/>
    </row>
    <row r="25" spans="1:11" ht="51.75" customHeight="1" x14ac:dyDescent="0.3">
      <c r="A25" s="7">
        <v>15</v>
      </c>
      <c r="B25" s="17">
        <v>46324</v>
      </c>
      <c r="C25" s="7" t="str">
        <f t="shared" si="0"/>
        <v>Thu</v>
      </c>
      <c r="D25" s="7" t="s">
        <v>968</v>
      </c>
      <c r="E25" s="6" t="s">
        <v>952</v>
      </c>
      <c r="F25" s="6" t="s">
        <v>969</v>
      </c>
      <c r="G25" s="30" t="s">
        <v>938</v>
      </c>
      <c r="H25" s="30" t="s">
        <v>954</v>
      </c>
      <c r="I25" s="7">
        <v>20</v>
      </c>
      <c r="J25" s="31" t="s">
        <v>401</v>
      </c>
      <c r="K25" s="6"/>
    </row>
    <row r="26" spans="1:11" ht="51.75" customHeight="1" x14ac:dyDescent="0.3">
      <c r="A26" s="7">
        <v>16</v>
      </c>
      <c r="B26" s="17">
        <v>46325</v>
      </c>
      <c r="C26" s="7" t="str">
        <f t="shared" si="0"/>
        <v>Fri</v>
      </c>
      <c r="D26" s="7" t="s">
        <v>968</v>
      </c>
      <c r="E26" s="6" t="s">
        <v>955</v>
      </c>
      <c r="F26" s="6" t="s">
        <v>969</v>
      </c>
      <c r="G26" s="30" t="s">
        <v>938</v>
      </c>
      <c r="H26" s="30" t="s">
        <v>954</v>
      </c>
      <c r="I26" s="7">
        <v>20</v>
      </c>
      <c r="J26" s="31" t="s">
        <v>401</v>
      </c>
      <c r="K26" s="6"/>
    </row>
    <row r="27" spans="1:11" ht="51.75" customHeight="1" x14ac:dyDescent="0.3">
      <c r="A27" s="7">
        <v>17</v>
      </c>
      <c r="B27" s="17">
        <v>46326</v>
      </c>
      <c r="C27" s="7" t="str">
        <f t="shared" si="0"/>
        <v>Sat</v>
      </c>
      <c r="D27" s="7" t="s">
        <v>968</v>
      </c>
      <c r="E27" s="6" t="s">
        <v>956</v>
      </c>
      <c r="F27" s="6" t="s">
        <v>969</v>
      </c>
      <c r="G27" s="30" t="s">
        <v>938</v>
      </c>
      <c r="H27" s="30" t="s">
        <v>954</v>
      </c>
      <c r="I27" s="7">
        <v>20</v>
      </c>
      <c r="J27" s="31" t="s">
        <v>401</v>
      </c>
      <c r="K27" s="6"/>
    </row>
    <row r="28" spans="1:11" ht="51.75" customHeight="1" x14ac:dyDescent="0.3">
      <c r="A28" s="7">
        <v>18</v>
      </c>
      <c r="B28" s="17">
        <v>46328</v>
      </c>
      <c r="C28" s="7" t="str">
        <f t="shared" si="0"/>
        <v>Mon</v>
      </c>
      <c r="D28" s="7" t="s">
        <v>968</v>
      </c>
      <c r="E28" s="6" t="s">
        <v>957</v>
      </c>
      <c r="F28" s="6" t="s">
        <v>969</v>
      </c>
      <c r="G28" s="30" t="s">
        <v>938</v>
      </c>
      <c r="H28" s="30" t="s">
        <v>954</v>
      </c>
      <c r="I28" s="7">
        <v>20</v>
      </c>
      <c r="J28" s="31" t="s">
        <v>401</v>
      </c>
      <c r="K28" s="6"/>
    </row>
    <row r="29" spans="1:11" ht="51.75" customHeight="1" x14ac:dyDescent="0.3">
      <c r="A29" s="7">
        <v>19</v>
      </c>
      <c r="B29" s="17">
        <v>46329</v>
      </c>
      <c r="C29" s="7" t="str">
        <f t="shared" si="0"/>
        <v>Tue</v>
      </c>
      <c r="D29" s="7" t="s">
        <v>968</v>
      </c>
      <c r="E29" s="6" t="s">
        <v>958</v>
      </c>
      <c r="F29" s="6" t="s">
        <v>969</v>
      </c>
      <c r="G29" s="30" t="s">
        <v>938</v>
      </c>
      <c r="H29" s="30" t="s">
        <v>954</v>
      </c>
      <c r="I29" s="7">
        <v>20</v>
      </c>
      <c r="J29" s="31" t="s">
        <v>401</v>
      </c>
      <c r="K29" s="6"/>
    </row>
    <row r="30" spans="1:11" ht="51.75" customHeight="1" x14ac:dyDescent="0.3">
      <c r="A30" s="7">
        <v>20</v>
      </c>
      <c r="B30" s="17">
        <v>46330</v>
      </c>
      <c r="C30" s="7" t="str">
        <f t="shared" si="0"/>
        <v>Wed</v>
      </c>
      <c r="D30" s="7" t="s">
        <v>968</v>
      </c>
      <c r="E30" s="6" t="s">
        <v>959</v>
      </c>
      <c r="F30" s="6" t="s">
        <v>969</v>
      </c>
      <c r="G30" s="30" t="s">
        <v>938</v>
      </c>
      <c r="H30" s="30" t="s">
        <v>954</v>
      </c>
      <c r="I30" s="7">
        <v>20</v>
      </c>
      <c r="J30" s="31" t="s">
        <v>401</v>
      </c>
      <c r="K30" s="6"/>
    </row>
    <row r="31" spans="1:11" ht="51.75" customHeight="1" x14ac:dyDescent="0.3">
      <c r="A31" s="7">
        <v>21</v>
      </c>
      <c r="B31" s="17">
        <v>46331</v>
      </c>
      <c r="C31" s="7" t="str">
        <f t="shared" si="0"/>
        <v>Thu</v>
      </c>
      <c r="D31" s="7" t="s">
        <v>968</v>
      </c>
      <c r="E31" s="6" t="s">
        <v>960</v>
      </c>
      <c r="F31" s="6" t="s">
        <v>969</v>
      </c>
      <c r="G31" s="30" t="s">
        <v>938</v>
      </c>
      <c r="H31" s="30" t="s">
        <v>954</v>
      </c>
      <c r="I31" s="7">
        <v>20</v>
      </c>
      <c r="J31" s="31" t="s">
        <v>401</v>
      </c>
      <c r="K31" s="6"/>
    </row>
    <row r="32" spans="1:11" ht="51.75" customHeight="1" x14ac:dyDescent="0.3">
      <c r="A32" s="7">
        <v>22</v>
      </c>
      <c r="B32" s="17">
        <v>46332</v>
      </c>
      <c r="C32" s="7" t="str">
        <f t="shared" si="0"/>
        <v>Fri</v>
      </c>
      <c r="D32" s="7" t="s">
        <v>968</v>
      </c>
      <c r="E32" s="6" t="s">
        <v>961</v>
      </c>
      <c r="F32" s="6" t="s">
        <v>969</v>
      </c>
      <c r="G32" s="30" t="s">
        <v>936</v>
      </c>
      <c r="H32" s="30" t="s">
        <v>954</v>
      </c>
      <c r="I32" s="7">
        <v>20</v>
      </c>
      <c r="J32" s="31" t="s">
        <v>401</v>
      </c>
      <c r="K32" s="6"/>
    </row>
    <row r="33" spans="1:11" ht="51.75" customHeight="1" x14ac:dyDescent="0.3">
      <c r="A33" s="7">
        <v>23</v>
      </c>
      <c r="B33" s="17">
        <v>46333</v>
      </c>
      <c r="C33" s="7" t="str">
        <f t="shared" si="0"/>
        <v>Sat</v>
      </c>
      <c r="D33" s="7" t="s">
        <v>968</v>
      </c>
      <c r="E33" s="6" t="s">
        <v>962</v>
      </c>
      <c r="F33" s="6" t="s">
        <v>969</v>
      </c>
      <c r="G33" s="30" t="s">
        <v>936</v>
      </c>
      <c r="H33" s="30" t="s">
        <v>954</v>
      </c>
      <c r="I33" s="7">
        <v>20</v>
      </c>
      <c r="J33" s="31" t="s">
        <v>401</v>
      </c>
      <c r="K33" s="6"/>
    </row>
    <row r="34" spans="1:11" ht="51.75" customHeight="1" x14ac:dyDescent="0.3">
      <c r="A34" s="7">
        <v>24</v>
      </c>
      <c r="B34" s="17">
        <v>46335</v>
      </c>
      <c r="C34" s="7" t="str">
        <f t="shared" si="0"/>
        <v>Mon</v>
      </c>
      <c r="D34" s="7" t="s">
        <v>968</v>
      </c>
      <c r="E34" s="6" t="s">
        <v>963</v>
      </c>
      <c r="F34" s="6" t="s">
        <v>969</v>
      </c>
      <c r="G34" s="30" t="s">
        <v>936</v>
      </c>
      <c r="H34" s="30" t="s">
        <v>954</v>
      </c>
      <c r="I34" s="7">
        <v>20</v>
      </c>
      <c r="J34" s="31" t="s">
        <v>401</v>
      </c>
      <c r="K34" s="6"/>
    </row>
    <row r="35" spans="1:11" ht="51.75" customHeight="1" x14ac:dyDescent="0.3">
      <c r="A35" s="7">
        <v>25</v>
      </c>
      <c r="B35" s="17">
        <v>46336</v>
      </c>
      <c r="C35" s="7" t="str">
        <f t="shared" si="0"/>
        <v>Tue</v>
      </c>
      <c r="D35" s="7" t="s">
        <v>968</v>
      </c>
      <c r="E35" s="6" t="s">
        <v>964</v>
      </c>
      <c r="F35" s="6" t="s">
        <v>969</v>
      </c>
      <c r="G35" s="30" t="s">
        <v>936</v>
      </c>
      <c r="H35" s="30" t="s">
        <v>954</v>
      </c>
      <c r="I35" s="7">
        <v>20</v>
      </c>
      <c r="J35" s="31" t="s">
        <v>401</v>
      </c>
      <c r="K35" s="6"/>
    </row>
    <row r="36" spans="1:11" ht="51.75" customHeight="1" x14ac:dyDescent="0.3">
      <c r="A36" s="7">
        <v>26</v>
      </c>
      <c r="B36" s="17">
        <v>46337</v>
      </c>
      <c r="C36" s="7" t="str">
        <f t="shared" si="0"/>
        <v>Wed</v>
      </c>
      <c r="D36" s="7" t="s">
        <v>968</v>
      </c>
      <c r="E36" s="6" t="s">
        <v>965</v>
      </c>
      <c r="F36" s="6" t="s">
        <v>969</v>
      </c>
      <c r="G36" s="30" t="s">
        <v>936</v>
      </c>
      <c r="H36" s="30" t="s">
        <v>954</v>
      </c>
      <c r="I36" s="7">
        <v>20</v>
      </c>
      <c r="J36" s="31" t="s">
        <v>401</v>
      </c>
      <c r="K36" s="6"/>
    </row>
    <row r="37" spans="1:11" ht="51.75" customHeight="1" x14ac:dyDescent="0.3">
      <c r="A37" s="7">
        <v>27</v>
      </c>
      <c r="B37" s="17">
        <v>46338</v>
      </c>
      <c r="C37" s="7" t="str">
        <f t="shared" si="0"/>
        <v>Thu</v>
      </c>
      <c r="D37" s="7" t="s">
        <v>968</v>
      </c>
      <c r="E37" s="6" t="s">
        <v>966</v>
      </c>
      <c r="F37" s="6" t="s">
        <v>969</v>
      </c>
      <c r="G37" s="30" t="s">
        <v>938</v>
      </c>
      <c r="H37" s="30" t="s">
        <v>954</v>
      </c>
      <c r="I37" s="7">
        <v>20</v>
      </c>
      <c r="J37" s="31" t="s">
        <v>401</v>
      </c>
      <c r="K37" s="6"/>
    </row>
    <row r="38" spans="1:11" ht="51.75" customHeight="1" x14ac:dyDescent="0.3">
      <c r="A38" s="7">
        <v>28</v>
      </c>
      <c r="B38" s="17">
        <v>46339</v>
      </c>
      <c r="C38" s="7" t="str">
        <f t="shared" si="0"/>
        <v>Fri</v>
      </c>
      <c r="D38" s="7" t="s">
        <v>968</v>
      </c>
      <c r="E38" s="6" t="s">
        <v>967</v>
      </c>
      <c r="F38" s="6" t="s">
        <v>969</v>
      </c>
      <c r="G38" s="30" t="s">
        <v>938</v>
      </c>
      <c r="H38" s="30" t="s">
        <v>954</v>
      </c>
      <c r="I38" s="7">
        <v>20</v>
      </c>
      <c r="J38" s="31" t="s">
        <v>401</v>
      </c>
      <c r="K38" s="6"/>
    </row>
    <row r="39" spans="1:11" ht="51.75" customHeight="1" x14ac:dyDescent="0.3">
      <c r="A39" s="7">
        <v>29</v>
      </c>
      <c r="B39" s="17">
        <v>46340</v>
      </c>
      <c r="C39" s="7" t="str">
        <f t="shared" si="0"/>
        <v>Sat</v>
      </c>
      <c r="D39" s="7" t="s">
        <v>970</v>
      </c>
      <c r="E39" s="6" t="s">
        <v>952</v>
      </c>
      <c r="F39" s="6" t="s">
        <v>971</v>
      </c>
      <c r="G39" s="30" t="s">
        <v>938</v>
      </c>
      <c r="H39" s="30" t="s">
        <v>954</v>
      </c>
      <c r="I39" s="7">
        <v>20</v>
      </c>
      <c r="J39" s="31" t="s">
        <v>401</v>
      </c>
      <c r="K39" s="6"/>
    </row>
    <row r="40" spans="1:11" ht="51.75" customHeight="1" x14ac:dyDescent="0.3">
      <c r="A40" s="7">
        <v>30</v>
      </c>
      <c r="B40" s="17">
        <v>46342</v>
      </c>
      <c r="C40" s="7" t="str">
        <f t="shared" si="0"/>
        <v>Mon</v>
      </c>
      <c r="D40" s="7" t="s">
        <v>970</v>
      </c>
      <c r="E40" s="6" t="s">
        <v>955</v>
      </c>
      <c r="F40" s="6" t="s">
        <v>971</v>
      </c>
      <c r="G40" s="30" t="s">
        <v>938</v>
      </c>
      <c r="H40" s="30" t="s">
        <v>954</v>
      </c>
      <c r="I40" s="7">
        <v>20</v>
      </c>
      <c r="J40" s="31" t="s">
        <v>401</v>
      </c>
      <c r="K40" s="6"/>
    </row>
    <row r="41" spans="1:11" ht="51.75" customHeight="1" x14ac:dyDescent="0.3">
      <c r="A41" s="7">
        <v>31</v>
      </c>
      <c r="B41" s="17">
        <v>46343</v>
      </c>
      <c r="C41" s="7" t="str">
        <f t="shared" si="0"/>
        <v>Tue</v>
      </c>
      <c r="D41" s="7" t="s">
        <v>970</v>
      </c>
      <c r="E41" s="6" t="s">
        <v>956</v>
      </c>
      <c r="F41" s="6" t="s">
        <v>971</v>
      </c>
      <c r="G41" s="30" t="s">
        <v>938</v>
      </c>
      <c r="H41" s="30" t="s">
        <v>954</v>
      </c>
      <c r="I41" s="7">
        <v>20</v>
      </c>
      <c r="J41" s="31" t="s">
        <v>401</v>
      </c>
      <c r="K41" s="6"/>
    </row>
    <row r="42" spans="1:11" ht="51.75" customHeight="1" x14ac:dyDescent="0.3">
      <c r="A42" s="7">
        <v>32</v>
      </c>
      <c r="B42" s="17">
        <v>46344</v>
      </c>
      <c r="C42" s="7" t="str">
        <f t="shared" si="0"/>
        <v>Wed</v>
      </c>
      <c r="D42" s="7" t="s">
        <v>970</v>
      </c>
      <c r="E42" s="6" t="s">
        <v>957</v>
      </c>
      <c r="F42" s="6" t="s">
        <v>971</v>
      </c>
      <c r="G42" s="30" t="s">
        <v>938</v>
      </c>
      <c r="H42" s="30" t="s">
        <v>954</v>
      </c>
      <c r="I42" s="7">
        <v>20</v>
      </c>
      <c r="J42" s="31" t="s">
        <v>401</v>
      </c>
      <c r="K42" s="6"/>
    </row>
    <row r="43" spans="1:11" ht="51.75" customHeight="1" x14ac:dyDescent="0.3">
      <c r="A43" s="7">
        <v>33</v>
      </c>
      <c r="B43" s="17">
        <v>46345</v>
      </c>
      <c r="C43" s="7" t="str">
        <f t="shared" ref="C43:C74" si="1">TEXT(B43,"ddd")</f>
        <v>Thu</v>
      </c>
      <c r="D43" s="7" t="s">
        <v>970</v>
      </c>
      <c r="E43" s="6" t="s">
        <v>958</v>
      </c>
      <c r="F43" s="6" t="s">
        <v>971</v>
      </c>
      <c r="G43" s="30" t="s">
        <v>938</v>
      </c>
      <c r="H43" s="30" t="s">
        <v>954</v>
      </c>
      <c r="I43" s="7">
        <v>20</v>
      </c>
      <c r="J43" s="31" t="s">
        <v>401</v>
      </c>
      <c r="K43" s="6"/>
    </row>
    <row r="44" spans="1:11" ht="51.75" customHeight="1" x14ac:dyDescent="0.3">
      <c r="A44" s="7">
        <v>34</v>
      </c>
      <c r="B44" s="17">
        <v>46346</v>
      </c>
      <c r="C44" s="7" t="str">
        <f t="shared" si="1"/>
        <v>Fri</v>
      </c>
      <c r="D44" s="7" t="s">
        <v>970</v>
      </c>
      <c r="E44" s="6" t="s">
        <v>959</v>
      </c>
      <c r="F44" s="6" t="s">
        <v>971</v>
      </c>
      <c r="G44" s="30" t="s">
        <v>938</v>
      </c>
      <c r="H44" s="30" t="s">
        <v>954</v>
      </c>
      <c r="I44" s="7">
        <v>20</v>
      </c>
      <c r="J44" s="31" t="s">
        <v>401</v>
      </c>
      <c r="K44" s="6"/>
    </row>
    <row r="45" spans="1:11" ht="51.75" customHeight="1" x14ac:dyDescent="0.3">
      <c r="A45" s="7">
        <v>35</v>
      </c>
      <c r="B45" s="17">
        <v>46347</v>
      </c>
      <c r="C45" s="7" t="str">
        <f t="shared" si="1"/>
        <v>Sat</v>
      </c>
      <c r="D45" s="7" t="s">
        <v>970</v>
      </c>
      <c r="E45" s="6" t="s">
        <v>960</v>
      </c>
      <c r="F45" s="6" t="s">
        <v>971</v>
      </c>
      <c r="G45" s="30" t="s">
        <v>938</v>
      </c>
      <c r="H45" s="30" t="s">
        <v>954</v>
      </c>
      <c r="I45" s="7">
        <v>20</v>
      </c>
      <c r="J45" s="31" t="s">
        <v>401</v>
      </c>
      <c r="K45" s="6"/>
    </row>
    <row r="46" spans="1:11" ht="51.75" customHeight="1" x14ac:dyDescent="0.3">
      <c r="A46" s="7">
        <v>36</v>
      </c>
      <c r="B46" s="17">
        <v>46349</v>
      </c>
      <c r="C46" s="7" t="str">
        <f t="shared" si="1"/>
        <v>Mon</v>
      </c>
      <c r="D46" s="7" t="s">
        <v>970</v>
      </c>
      <c r="E46" s="6" t="s">
        <v>961</v>
      </c>
      <c r="F46" s="6" t="s">
        <v>971</v>
      </c>
      <c r="G46" s="30" t="s">
        <v>936</v>
      </c>
      <c r="H46" s="30" t="s">
        <v>954</v>
      </c>
      <c r="I46" s="7">
        <v>20</v>
      </c>
      <c r="J46" s="31" t="s">
        <v>401</v>
      </c>
      <c r="K46" s="6"/>
    </row>
    <row r="47" spans="1:11" ht="51.75" customHeight="1" x14ac:dyDescent="0.3">
      <c r="A47" s="7">
        <v>37</v>
      </c>
      <c r="B47" s="17">
        <v>46350</v>
      </c>
      <c r="C47" s="7" t="str">
        <f t="shared" si="1"/>
        <v>Tue</v>
      </c>
      <c r="D47" s="7" t="s">
        <v>970</v>
      </c>
      <c r="E47" s="6" t="s">
        <v>962</v>
      </c>
      <c r="F47" s="6" t="s">
        <v>971</v>
      </c>
      <c r="G47" s="30" t="s">
        <v>936</v>
      </c>
      <c r="H47" s="30" t="s">
        <v>954</v>
      </c>
      <c r="I47" s="7">
        <v>20</v>
      </c>
      <c r="J47" s="31" t="s">
        <v>401</v>
      </c>
      <c r="K47" s="6"/>
    </row>
    <row r="48" spans="1:11" ht="51.75" customHeight="1" x14ac:dyDescent="0.3">
      <c r="A48" s="7">
        <v>38</v>
      </c>
      <c r="B48" s="17">
        <v>46351</v>
      </c>
      <c r="C48" s="7" t="str">
        <f t="shared" si="1"/>
        <v>Wed</v>
      </c>
      <c r="D48" s="7" t="s">
        <v>970</v>
      </c>
      <c r="E48" s="6" t="s">
        <v>963</v>
      </c>
      <c r="F48" s="6" t="s">
        <v>971</v>
      </c>
      <c r="G48" s="30" t="s">
        <v>936</v>
      </c>
      <c r="H48" s="30" t="s">
        <v>954</v>
      </c>
      <c r="I48" s="7">
        <v>20</v>
      </c>
      <c r="J48" s="31" t="s">
        <v>401</v>
      </c>
      <c r="K48" s="6"/>
    </row>
    <row r="49" spans="1:11" ht="51.75" customHeight="1" x14ac:dyDescent="0.3">
      <c r="A49" s="7">
        <v>39</v>
      </c>
      <c r="B49" s="17">
        <v>46352</v>
      </c>
      <c r="C49" s="7" t="str">
        <f t="shared" si="1"/>
        <v>Thu</v>
      </c>
      <c r="D49" s="7" t="s">
        <v>970</v>
      </c>
      <c r="E49" s="6" t="s">
        <v>964</v>
      </c>
      <c r="F49" s="6" t="s">
        <v>971</v>
      </c>
      <c r="G49" s="30" t="s">
        <v>936</v>
      </c>
      <c r="H49" s="30" t="s">
        <v>954</v>
      </c>
      <c r="I49" s="7">
        <v>20</v>
      </c>
      <c r="J49" s="31" t="s">
        <v>401</v>
      </c>
      <c r="K49" s="6"/>
    </row>
    <row r="50" spans="1:11" ht="51.75" customHeight="1" x14ac:dyDescent="0.3">
      <c r="A50" s="7">
        <v>40</v>
      </c>
      <c r="B50" s="17">
        <v>46353</v>
      </c>
      <c r="C50" s="7" t="str">
        <f t="shared" si="1"/>
        <v>Fri</v>
      </c>
      <c r="D50" s="7" t="s">
        <v>970</v>
      </c>
      <c r="E50" s="6" t="s">
        <v>965</v>
      </c>
      <c r="F50" s="6" t="s">
        <v>971</v>
      </c>
      <c r="G50" s="30" t="s">
        <v>936</v>
      </c>
      <c r="H50" s="30" t="s">
        <v>954</v>
      </c>
      <c r="I50" s="7">
        <v>20</v>
      </c>
      <c r="J50" s="31" t="s">
        <v>401</v>
      </c>
      <c r="K50" s="6"/>
    </row>
    <row r="51" spans="1:11" ht="51.75" customHeight="1" x14ac:dyDescent="0.3">
      <c r="A51" s="7">
        <v>41</v>
      </c>
      <c r="B51" s="17">
        <v>46354</v>
      </c>
      <c r="C51" s="7" t="str">
        <f t="shared" si="1"/>
        <v>Sat</v>
      </c>
      <c r="D51" s="7" t="s">
        <v>970</v>
      </c>
      <c r="E51" s="6" t="s">
        <v>966</v>
      </c>
      <c r="F51" s="6" t="s">
        <v>971</v>
      </c>
      <c r="G51" s="30" t="s">
        <v>938</v>
      </c>
      <c r="H51" s="30" t="s">
        <v>954</v>
      </c>
      <c r="I51" s="7">
        <v>20</v>
      </c>
      <c r="J51" s="31" t="s">
        <v>401</v>
      </c>
      <c r="K51" s="6"/>
    </row>
    <row r="52" spans="1:11" ht="51.75" customHeight="1" x14ac:dyDescent="0.3">
      <c r="A52" s="7">
        <v>42</v>
      </c>
      <c r="B52" s="17">
        <v>46356</v>
      </c>
      <c r="C52" s="7" t="str">
        <f t="shared" si="1"/>
        <v>Mon</v>
      </c>
      <c r="D52" s="7" t="s">
        <v>970</v>
      </c>
      <c r="E52" s="6" t="s">
        <v>967</v>
      </c>
      <c r="F52" s="6" t="s">
        <v>971</v>
      </c>
      <c r="G52" s="30" t="s">
        <v>938</v>
      </c>
      <c r="H52" s="30" t="s">
        <v>954</v>
      </c>
      <c r="I52" s="7">
        <v>20</v>
      </c>
      <c r="J52" s="31" t="s">
        <v>401</v>
      </c>
      <c r="K52" s="6"/>
    </row>
    <row r="53" spans="1:11" ht="51.75" customHeight="1" x14ac:dyDescent="0.3">
      <c r="A53" s="7">
        <v>43</v>
      </c>
      <c r="B53" s="17">
        <v>46357</v>
      </c>
      <c r="C53" s="7" t="str">
        <f t="shared" si="1"/>
        <v>Tue</v>
      </c>
      <c r="D53" s="7" t="s">
        <v>972</v>
      </c>
      <c r="E53" s="6" t="s">
        <v>952</v>
      </c>
      <c r="F53" s="6" t="s">
        <v>973</v>
      </c>
      <c r="G53" s="30" t="s">
        <v>938</v>
      </c>
      <c r="H53" s="30" t="s">
        <v>954</v>
      </c>
      <c r="I53" s="7">
        <v>20</v>
      </c>
      <c r="J53" s="31" t="s">
        <v>401</v>
      </c>
      <c r="K53" s="6"/>
    </row>
    <row r="54" spans="1:11" ht="51.75" customHeight="1" x14ac:dyDescent="0.3">
      <c r="A54" s="7">
        <v>44</v>
      </c>
      <c r="B54" s="17">
        <v>46358</v>
      </c>
      <c r="C54" s="7" t="str">
        <f t="shared" si="1"/>
        <v>Wed</v>
      </c>
      <c r="D54" s="7" t="s">
        <v>972</v>
      </c>
      <c r="E54" s="6" t="s">
        <v>955</v>
      </c>
      <c r="F54" s="6" t="s">
        <v>973</v>
      </c>
      <c r="G54" s="30" t="s">
        <v>938</v>
      </c>
      <c r="H54" s="30" t="s">
        <v>954</v>
      </c>
      <c r="I54" s="7">
        <v>20</v>
      </c>
      <c r="J54" s="31" t="s">
        <v>401</v>
      </c>
      <c r="K54" s="6"/>
    </row>
    <row r="55" spans="1:11" ht="51.75" customHeight="1" x14ac:dyDescent="0.3">
      <c r="A55" s="7">
        <v>45</v>
      </c>
      <c r="B55" s="17">
        <v>46359</v>
      </c>
      <c r="C55" s="7" t="str">
        <f t="shared" si="1"/>
        <v>Thu</v>
      </c>
      <c r="D55" s="7" t="s">
        <v>972</v>
      </c>
      <c r="E55" s="6" t="s">
        <v>956</v>
      </c>
      <c r="F55" s="6" t="s">
        <v>973</v>
      </c>
      <c r="G55" s="30" t="s">
        <v>938</v>
      </c>
      <c r="H55" s="30" t="s">
        <v>954</v>
      </c>
      <c r="I55" s="7">
        <v>20</v>
      </c>
      <c r="J55" s="31" t="s">
        <v>401</v>
      </c>
      <c r="K55" s="6"/>
    </row>
    <row r="56" spans="1:11" ht="51.75" customHeight="1" x14ac:dyDescent="0.3">
      <c r="A56" s="7">
        <v>46</v>
      </c>
      <c r="B56" s="17">
        <v>46360</v>
      </c>
      <c r="C56" s="7" t="str">
        <f t="shared" si="1"/>
        <v>Fri</v>
      </c>
      <c r="D56" s="7" t="s">
        <v>972</v>
      </c>
      <c r="E56" s="6" t="s">
        <v>957</v>
      </c>
      <c r="F56" s="6" t="s">
        <v>973</v>
      </c>
      <c r="G56" s="30" t="s">
        <v>938</v>
      </c>
      <c r="H56" s="30" t="s">
        <v>954</v>
      </c>
      <c r="I56" s="7">
        <v>20</v>
      </c>
      <c r="J56" s="31" t="s">
        <v>401</v>
      </c>
      <c r="K56" s="6"/>
    </row>
    <row r="57" spans="1:11" ht="51.75" customHeight="1" x14ac:dyDescent="0.3">
      <c r="A57" s="7">
        <v>47</v>
      </c>
      <c r="B57" s="17">
        <v>46361</v>
      </c>
      <c r="C57" s="7" t="str">
        <f t="shared" si="1"/>
        <v>Sat</v>
      </c>
      <c r="D57" s="7" t="s">
        <v>972</v>
      </c>
      <c r="E57" s="6" t="s">
        <v>958</v>
      </c>
      <c r="F57" s="6" t="s">
        <v>973</v>
      </c>
      <c r="G57" s="30" t="s">
        <v>938</v>
      </c>
      <c r="H57" s="30" t="s">
        <v>954</v>
      </c>
      <c r="I57" s="7">
        <v>20</v>
      </c>
      <c r="J57" s="31" t="s">
        <v>401</v>
      </c>
      <c r="K57" s="6"/>
    </row>
    <row r="58" spans="1:11" ht="51.75" customHeight="1" x14ac:dyDescent="0.3">
      <c r="A58" s="7">
        <v>48</v>
      </c>
      <c r="B58" s="17">
        <v>46363</v>
      </c>
      <c r="C58" s="7" t="str">
        <f t="shared" si="1"/>
        <v>Mon</v>
      </c>
      <c r="D58" s="7" t="s">
        <v>972</v>
      </c>
      <c r="E58" s="6" t="s">
        <v>959</v>
      </c>
      <c r="F58" s="6" t="s">
        <v>973</v>
      </c>
      <c r="G58" s="30" t="s">
        <v>938</v>
      </c>
      <c r="H58" s="30" t="s">
        <v>954</v>
      </c>
      <c r="I58" s="7">
        <v>20</v>
      </c>
      <c r="J58" s="31" t="s">
        <v>401</v>
      </c>
      <c r="K58" s="6"/>
    </row>
    <row r="59" spans="1:11" ht="51.75" customHeight="1" x14ac:dyDescent="0.3">
      <c r="A59" s="7">
        <v>49</v>
      </c>
      <c r="B59" s="17">
        <v>46364</v>
      </c>
      <c r="C59" s="7" t="str">
        <f t="shared" si="1"/>
        <v>Tue</v>
      </c>
      <c r="D59" s="7" t="s">
        <v>972</v>
      </c>
      <c r="E59" s="6" t="s">
        <v>960</v>
      </c>
      <c r="F59" s="6" t="s">
        <v>973</v>
      </c>
      <c r="G59" s="30" t="s">
        <v>938</v>
      </c>
      <c r="H59" s="30" t="s">
        <v>954</v>
      </c>
      <c r="I59" s="7">
        <v>20</v>
      </c>
      <c r="J59" s="31" t="s">
        <v>401</v>
      </c>
      <c r="K59" s="6"/>
    </row>
    <row r="60" spans="1:11" ht="51.75" customHeight="1" x14ac:dyDescent="0.3">
      <c r="A60" s="7">
        <v>50</v>
      </c>
      <c r="B60" s="17">
        <v>46365</v>
      </c>
      <c r="C60" s="7" t="str">
        <f t="shared" si="1"/>
        <v>Wed</v>
      </c>
      <c r="D60" s="7" t="s">
        <v>972</v>
      </c>
      <c r="E60" s="6" t="s">
        <v>961</v>
      </c>
      <c r="F60" s="6" t="s">
        <v>973</v>
      </c>
      <c r="G60" s="30" t="s">
        <v>936</v>
      </c>
      <c r="H60" s="30" t="s">
        <v>954</v>
      </c>
      <c r="I60" s="7">
        <v>20</v>
      </c>
      <c r="J60" s="31" t="s">
        <v>401</v>
      </c>
      <c r="K60" s="6"/>
    </row>
    <row r="61" spans="1:11" ht="51.75" customHeight="1" x14ac:dyDescent="0.3">
      <c r="A61" s="7">
        <v>51</v>
      </c>
      <c r="B61" s="17">
        <v>46366</v>
      </c>
      <c r="C61" s="7" t="str">
        <f t="shared" si="1"/>
        <v>Thu</v>
      </c>
      <c r="D61" s="7" t="s">
        <v>972</v>
      </c>
      <c r="E61" s="6" t="s">
        <v>962</v>
      </c>
      <c r="F61" s="6" t="s">
        <v>973</v>
      </c>
      <c r="G61" s="30" t="s">
        <v>936</v>
      </c>
      <c r="H61" s="30" t="s">
        <v>954</v>
      </c>
      <c r="I61" s="7">
        <v>20</v>
      </c>
      <c r="J61" s="31" t="s">
        <v>401</v>
      </c>
      <c r="K61" s="6"/>
    </row>
    <row r="62" spans="1:11" ht="51.75" customHeight="1" x14ac:dyDescent="0.3">
      <c r="A62" s="7">
        <v>52</v>
      </c>
      <c r="B62" s="17">
        <v>46385</v>
      </c>
      <c r="C62" s="7" t="str">
        <f t="shared" si="1"/>
        <v>Tue</v>
      </c>
      <c r="D62" s="7" t="s">
        <v>972</v>
      </c>
      <c r="E62" s="6" t="s">
        <v>963</v>
      </c>
      <c r="F62" s="6" t="s">
        <v>973</v>
      </c>
      <c r="G62" s="30" t="s">
        <v>936</v>
      </c>
      <c r="H62" s="30" t="s">
        <v>954</v>
      </c>
      <c r="I62" s="7">
        <v>20</v>
      </c>
      <c r="J62" s="31" t="s">
        <v>401</v>
      </c>
      <c r="K62" s="6"/>
    </row>
    <row r="63" spans="1:11" x14ac:dyDescent="0.3">
      <c r="H63" s="1" t="s">
        <v>931</v>
      </c>
      <c r="I63" s="1">
        <f>SUM(I11:I62)</f>
        <v>1015</v>
      </c>
    </row>
  </sheetData>
  <mergeCells count="9">
    <mergeCell ref="A8:B8"/>
    <mergeCell ref="A6:B6"/>
    <mergeCell ref="C7:G7"/>
    <mergeCell ref="A1:G1"/>
    <mergeCell ref="A7:B7"/>
    <mergeCell ref="C6:G6"/>
    <mergeCell ref="A5:B5"/>
    <mergeCell ref="C5:G5"/>
    <mergeCell ref="A2:G2"/>
  </mergeCells>
  <conditionalFormatting sqref="J11:J62">
    <cfRule type="cellIs" dxfId="5" priority="2" operator="equal">
      <formula>"Done"</formula>
    </cfRule>
    <cfRule type="cellIs" dxfId="4" priority="3" operator="equal">
      <formula>"In Progress"</formula>
    </cfRule>
  </conditionalFormatting>
  <dataValidations count="1">
    <dataValidation type="list" allowBlank="1" sqref="J11:J62" xr:uid="{00000000-0002-0000-0A00-000000000000}">
      <formula1>"Not Started,In Progress,Done"</formula1>
      <formula2>0</formula2>
    </dataValidation>
  </dataValidations>
  <hyperlinks>
    <hyperlink ref="C5" r:id="rId1" xr:uid="{00000000-0004-0000-0A00-000000000000}"/>
    <hyperlink ref="C6" r:id="rId2" xr:uid="{00000000-0004-0000-0A00-000001000000}"/>
    <hyperlink ref="C7" r:id="rId3" xr:uid="{00000000-0004-0000-0A00-000002000000}"/>
    <hyperlink ref="C8" r:id="rId4" xr:uid="{00000000-0004-0000-0A00-000003000000}"/>
    <hyperlink ref="D8" r:id="rId5" xr:uid="{00000000-0004-0000-0A00-000004000000}"/>
    <hyperlink ref="E8" r:id="rId6" xr:uid="{00000000-0004-0000-0A00-000005000000}"/>
    <hyperlink ref="F8" r:id="rId7" xr:uid="{00000000-0004-0000-0A00-000006000000}"/>
    <hyperlink ref="G8" r:id="rId8" xr:uid="{00000000-0004-0000-0A00-000007000000}"/>
    <hyperlink ref="G11" r:id="rId9" xr:uid="{00000000-0004-0000-0A00-000008000000}"/>
    <hyperlink ref="H11" r:id="rId10" xr:uid="{00000000-0004-0000-0A00-000009000000}"/>
    <hyperlink ref="G12" r:id="rId11" xr:uid="{00000000-0004-0000-0A00-00000A000000}"/>
    <hyperlink ref="H12" r:id="rId12" xr:uid="{00000000-0004-0000-0A00-00000B000000}"/>
    <hyperlink ref="G13" r:id="rId13" xr:uid="{00000000-0004-0000-0A00-00000C000000}"/>
    <hyperlink ref="H13" r:id="rId14" xr:uid="{00000000-0004-0000-0A00-00000D000000}"/>
    <hyperlink ref="G14" r:id="rId15" xr:uid="{00000000-0004-0000-0A00-00000E000000}"/>
    <hyperlink ref="H14" r:id="rId16" xr:uid="{00000000-0004-0000-0A00-00000F000000}"/>
    <hyperlink ref="G15" r:id="rId17" xr:uid="{00000000-0004-0000-0A00-000010000000}"/>
    <hyperlink ref="H15" r:id="rId18" xr:uid="{00000000-0004-0000-0A00-000011000000}"/>
    <hyperlink ref="G16" r:id="rId19" xr:uid="{00000000-0004-0000-0A00-000012000000}"/>
    <hyperlink ref="H16" r:id="rId20" xr:uid="{00000000-0004-0000-0A00-000013000000}"/>
    <hyperlink ref="G17" r:id="rId21" xr:uid="{00000000-0004-0000-0A00-000014000000}"/>
    <hyperlink ref="H17" r:id="rId22" xr:uid="{00000000-0004-0000-0A00-000015000000}"/>
    <hyperlink ref="G18" r:id="rId23" xr:uid="{00000000-0004-0000-0A00-000016000000}"/>
    <hyperlink ref="H18" r:id="rId24" xr:uid="{00000000-0004-0000-0A00-000017000000}"/>
    <hyperlink ref="G19" r:id="rId25" xr:uid="{00000000-0004-0000-0A00-000018000000}"/>
    <hyperlink ref="H19" r:id="rId26" xr:uid="{00000000-0004-0000-0A00-000019000000}"/>
    <hyperlink ref="G20" r:id="rId27" xr:uid="{00000000-0004-0000-0A00-00001A000000}"/>
    <hyperlink ref="H20" r:id="rId28" xr:uid="{00000000-0004-0000-0A00-00001B000000}"/>
    <hyperlink ref="G21" r:id="rId29" xr:uid="{00000000-0004-0000-0A00-00001C000000}"/>
    <hyperlink ref="H21" r:id="rId30" xr:uid="{00000000-0004-0000-0A00-00001D000000}"/>
    <hyperlink ref="G22" r:id="rId31" xr:uid="{00000000-0004-0000-0A00-00001E000000}"/>
    <hyperlink ref="H22" r:id="rId32" xr:uid="{00000000-0004-0000-0A00-00001F000000}"/>
    <hyperlink ref="G23" r:id="rId33" xr:uid="{00000000-0004-0000-0A00-000020000000}"/>
    <hyperlink ref="H23" r:id="rId34" xr:uid="{00000000-0004-0000-0A00-000021000000}"/>
    <hyperlink ref="G24" r:id="rId35" xr:uid="{00000000-0004-0000-0A00-000022000000}"/>
    <hyperlink ref="H24" r:id="rId36" xr:uid="{00000000-0004-0000-0A00-000023000000}"/>
    <hyperlink ref="G25" r:id="rId37" xr:uid="{00000000-0004-0000-0A00-000024000000}"/>
    <hyperlink ref="H25" r:id="rId38" xr:uid="{00000000-0004-0000-0A00-000025000000}"/>
    <hyperlink ref="G26" r:id="rId39" xr:uid="{00000000-0004-0000-0A00-000026000000}"/>
    <hyperlink ref="H26" r:id="rId40" xr:uid="{00000000-0004-0000-0A00-000027000000}"/>
    <hyperlink ref="G27" r:id="rId41" xr:uid="{00000000-0004-0000-0A00-000028000000}"/>
    <hyperlink ref="H27" r:id="rId42" xr:uid="{00000000-0004-0000-0A00-000029000000}"/>
    <hyperlink ref="G28" r:id="rId43" xr:uid="{00000000-0004-0000-0A00-00002A000000}"/>
    <hyperlink ref="H28" r:id="rId44" xr:uid="{00000000-0004-0000-0A00-00002B000000}"/>
    <hyperlink ref="G29" r:id="rId45" xr:uid="{00000000-0004-0000-0A00-00002C000000}"/>
    <hyperlink ref="H29" r:id="rId46" xr:uid="{00000000-0004-0000-0A00-00002D000000}"/>
    <hyperlink ref="G30" r:id="rId47" xr:uid="{00000000-0004-0000-0A00-00002E000000}"/>
    <hyperlink ref="H30" r:id="rId48" xr:uid="{00000000-0004-0000-0A00-00002F000000}"/>
    <hyperlink ref="G31" r:id="rId49" xr:uid="{00000000-0004-0000-0A00-000030000000}"/>
    <hyperlink ref="H31" r:id="rId50" xr:uid="{00000000-0004-0000-0A00-000031000000}"/>
    <hyperlink ref="G32" r:id="rId51" xr:uid="{00000000-0004-0000-0A00-000032000000}"/>
    <hyperlink ref="H32" r:id="rId52" xr:uid="{00000000-0004-0000-0A00-000033000000}"/>
    <hyperlink ref="G33" r:id="rId53" xr:uid="{00000000-0004-0000-0A00-000034000000}"/>
    <hyperlink ref="H33" r:id="rId54" xr:uid="{00000000-0004-0000-0A00-000035000000}"/>
    <hyperlink ref="G34" r:id="rId55" xr:uid="{00000000-0004-0000-0A00-000036000000}"/>
    <hyperlink ref="H34" r:id="rId56" xr:uid="{00000000-0004-0000-0A00-000037000000}"/>
    <hyperlink ref="G35" r:id="rId57" xr:uid="{00000000-0004-0000-0A00-000038000000}"/>
    <hyperlink ref="H35" r:id="rId58" xr:uid="{00000000-0004-0000-0A00-000039000000}"/>
    <hyperlink ref="G36" r:id="rId59" xr:uid="{00000000-0004-0000-0A00-00003A000000}"/>
    <hyperlink ref="H36" r:id="rId60" xr:uid="{00000000-0004-0000-0A00-00003B000000}"/>
    <hyperlink ref="G37" r:id="rId61" xr:uid="{00000000-0004-0000-0A00-00003C000000}"/>
    <hyperlink ref="H37" r:id="rId62" xr:uid="{00000000-0004-0000-0A00-00003D000000}"/>
    <hyperlink ref="G38" r:id="rId63" xr:uid="{00000000-0004-0000-0A00-00003E000000}"/>
    <hyperlink ref="H38" r:id="rId64" xr:uid="{00000000-0004-0000-0A00-00003F000000}"/>
    <hyperlink ref="G39" r:id="rId65" xr:uid="{00000000-0004-0000-0A00-000040000000}"/>
    <hyperlink ref="H39" r:id="rId66" xr:uid="{00000000-0004-0000-0A00-000041000000}"/>
    <hyperlink ref="G40" r:id="rId67" xr:uid="{00000000-0004-0000-0A00-000042000000}"/>
    <hyperlink ref="H40" r:id="rId68" xr:uid="{00000000-0004-0000-0A00-000043000000}"/>
    <hyperlink ref="G41" r:id="rId69" xr:uid="{00000000-0004-0000-0A00-000044000000}"/>
    <hyperlink ref="H41" r:id="rId70" xr:uid="{00000000-0004-0000-0A00-000045000000}"/>
    <hyperlink ref="G42" r:id="rId71" xr:uid="{00000000-0004-0000-0A00-000046000000}"/>
    <hyperlink ref="H42" r:id="rId72" xr:uid="{00000000-0004-0000-0A00-000047000000}"/>
    <hyperlink ref="G43" r:id="rId73" xr:uid="{00000000-0004-0000-0A00-000048000000}"/>
    <hyperlink ref="H43" r:id="rId74" xr:uid="{00000000-0004-0000-0A00-000049000000}"/>
    <hyperlink ref="G44" r:id="rId75" xr:uid="{00000000-0004-0000-0A00-00004A000000}"/>
    <hyperlink ref="H44" r:id="rId76" xr:uid="{00000000-0004-0000-0A00-00004B000000}"/>
    <hyperlink ref="G45" r:id="rId77" xr:uid="{00000000-0004-0000-0A00-00004C000000}"/>
    <hyperlink ref="H45" r:id="rId78" xr:uid="{00000000-0004-0000-0A00-00004D000000}"/>
    <hyperlink ref="G46" r:id="rId79" xr:uid="{00000000-0004-0000-0A00-00004E000000}"/>
    <hyperlink ref="H46" r:id="rId80" xr:uid="{00000000-0004-0000-0A00-00004F000000}"/>
    <hyperlink ref="G47" r:id="rId81" xr:uid="{00000000-0004-0000-0A00-000050000000}"/>
    <hyperlink ref="H47" r:id="rId82" xr:uid="{00000000-0004-0000-0A00-000051000000}"/>
    <hyperlink ref="G48" r:id="rId83" xr:uid="{00000000-0004-0000-0A00-000052000000}"/>
    <hyperlink ref="H48" r:id="rId84" xr:uid="{00000000-0004-0000-0A00-000053000000}"/>
    <hyperlink ref="G49" r:id="rId85" xr:uid="{00000000-0004-0000-0A00-000054000000}"/>
    <hyperlink ref="H49" r:id="rId86" xr:uid="{00000000-0004-0000-0A00-000055000000}"/>
    <hyperlink ref="G50" r:id="rId87" xr:uid="{00000000-0004-0000-0A00-000056000000}"/>
    <hyperlink ref="H50" r:id="rId88" xr:uid="{00000000-0004-0000-0A00-000057000000}"/>
    <hyperlink ref="G51" r:id="rId89" xr:uid="{00000000-0004-0000-0A00-000058000000}"/>
    <hyperlink ref="H51" r:id="rId90" xr:uid="{00000000-0004-0000-0A00-000059000000}"/>
    <hyperlink ref="G52" r:id="rId91" xr:uid="{00000000-0004-0000-0A00-00005A000000}"/>
    <hyperlink ref="H52" r:id="rId92" xr:uid="{00000000-0004-0000-0A00-00005B000000}"/>
    <hyperlink ref="G53" r:id="rId93" xr:uid="{00000000-0004-0000-0A00-00005C000000}"/>
    <hyperlink ref="H53" r:id="rId94" xr:uid="{00000000-0004-0000-0A00-00005D000000}"/>
    <hyperlink ref="G54" r:id="rId95" xr:uid="{00000000-0004-0000-0A00-00005E000000}"/>
    <hyperlink ref="H54" r:id="rId96" xr:uid="{00000000-0004-0000-0A00-00005F000000}"/>
    <hyperlink ref="G55" r:id="rId97" xr:uid="{00000000-0004-0000-0A00-000060000000}"/>
    <hyperlink ref="H55" r:id="rId98" xr:uid="{00000000-0004-0000-0A00-000061000000}"/>
    <hyperlink ref="G56" r:id="rId99" xr:uid="{00000000-0004-0000-0A00-000062000000}"/>
    <hyperlink ref="H56" r:id="rId100" xr:uid="{00000000-0004-0000-0A00-000063000000}"/>
    <hyperlink ref="G57" r:id="rId101" xr:uid="{00000000-0004-0000-0A00-000064000000}"/>
    <hyperlink ref="H57" r:id="rId102" xr:uid="{00000000-0004-0000-0A00-000065000000}"/>
    <hyperlink ref="G58" r:id="rId103" xr:uid="{00000000-0004-0000-0A00-000066000000}"/>
    <hyperlink ref="H58" r:id="rId104" xr:uid="{00000000-0004-0000-0A00-000067000000}"/>
    <hyperlink ref="G59" r:id="rId105" xr:uid="{00000000-0004-0000-0A00-000068000000}"/>
    <hyperlink ref="H59" r:id="rId106" xr:uid="{00000000-0004-0000-0A00-000069000000}"/>
    <hyperlink ref="G60" r:id="rId107" xr:uid="{00000000-0004-0000-0A00-00006A000000}"/>
    <hyperlink ref="H60" r:id="rId108" xr:uid="{00000000-0004-0000-0A00-00006B000000}"/>
    <hyperlink ref="G61" r:id="rId109" xr:uid="{00000000-0004-0000-0A00-00006C000000}"/>
    <hyperlink ref="H61" r:id="rId110" xr:uid="{00000000-0004-0000-0A00-00006D000000}"/>
    <hyperlink ref="G62" r:id="rId111" xr:uid="{00000000-0004-0000-0A00-00006E000000}"/>
    <hyperlink ref="H62" r:id="rId112" xr:uid="{00000000-0004-0000-0A00-00006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:E2"/>
    </sheetView>
  </sheetViews>
  <sheetFormatPr defaultColWidth="8.6640625" defaultRowHeight="14.4" x14ac:dyDescent="0.3"/>
  <cols>
    <col min="1" max="1" width="11" customWidth="1"/>
    <col min="2" max="2" width="6" customWidth="1"/>
    <col min="3" max="3" width="64" customWidth="1"/>
    <col min="4" max="4" width="30" customWidth="1"/>
    <col min="5" max="5" width="44" customWidth="1"/>
    <col min="6" max="6" width="48" customWidth="1"/>
    <col min="7" max="7" width="9" customWidth="1"/>
    <col min="8" max="8" width="13" customWidth="1"/>
  </cols>
  <sheetData>
    <row r="1" spans="1:8" ht="17.399999999999999" customHeight="1" x14ac:dyDescent="0.3">
      <c r="A1" s="34" t="s">
        <v>974</v>
      </c>
      <c r="B1" s="33"/>
      <c r="C1" s="33"/>
      <c r="D1" s="33"/>
      <c r="E1" s="33"/>
    </row>
    <row r="2" spans="1:8" x14ac:dyDescent="0.3">
      <c r="A2" s="32" t="s">
        <v>975</v>
      </c>
      <c r="B2" s="33"/>
      <c r="C2" s="33"/>
      <c r="D2" s="33"/>
      <c r="E2" s="33"/>
    </row>
    <row r="4" spans="1:8" ht="26.4" customHeight="1" x14ac:dyDescent="0.3">
      <c r="A4" s="5" t="s">
        <v>190</v>
      </c>
      <c r="B4" s="5" t="s">
        <v>191</v>
      </c>
      <c r="C4" s="5" t="s">
        <v>976</v>
      </c>
      <c r="D4" s="5" t="s">
        <v>977</v>
      </c>
      <c r="E4" s="5" t="s">
        <v>978</v>
      </c>
      <c r="F4" s="5" t="s">
        <v>979</v>
      </c>
      <c r="G4" s="5" t="s">
        <v>980</v>
      </c>
      <c r="H4" s="5" t="s">
        <v>160</v>
      </c>
    </row>
    <row r="5" spans="1:8" ht="129.75" customHeight="1" x14ac:dyDescent="0.3">
      <c r="A5" s="17">
        <v>46313</v>
      </c>
      <c r="B5" s="7" t="str">
        <f t="shared" ref="B5:B12" si="0">TEXT(A5,"ddd")</f>
        <v>Sun</v>
      </c>
      <c r="C5" s="6" t="s">
        <v>981</v>
      </c>
      <c r="D5" s="6" t="s">
        <v>982</v>
      </c>
      <c r="E5" s="6" t="s">
        <v>983</v>
      </c>
      <c r="F5" s="6" t="s">
        <v>984</v>
      </c>
      <c r="G5" s="18">
        <v>3</v>
      </c>
      <c r="H5" s="7" t="s">
        <v>401</v>
      </c>
    </row>
    <row r="6" spans="1:8" ht="129.75" customHeight="1" x14ac:dyDescent="0.3">
      <c r="A6" s="17">
        <v>46320</v>
      </c>
      <c r="B6" s="7" t="str">
        <f t="shared" si="0"/>
        <v>Sun</v>
      </c>
      <c r="C6" s="6" t="s">
        <v>985</v>
      </c>
      <c r="D6" s="6" t="s">
        <v>982</v>
      </c>
      <c r="E6" s="6" t="s">
        <v>986</v>
      </c>
      <c r="F6" s="6" t="s">
        <v>984</v>
      </c>
      <c r="G6" s="18">
        <v>3</v>
      </c>
      <c r="H6" s="7" t="s">
        <v>401</v>
      </c>
    </row>
    <row r="7" spans="1:8" ht="129.75" customHeight="1" x14ac:dyDescent="0.3">
      <c r="A7" s="17">
        <v>46327</v>
      </c>
      <c r="B7" s="7" t="str">
        <f t="shared" si="0"/>
        <v>Sun</v>
      </c>
      <c r="C7" s="6" t="s">
        <v>987</v>
      </c>
      <c r="D7" s="6" t="s">
        <v>982</v>
      </c>
      <c r="E7" s="6" t="s">
        <v>988</v>
      </c>
      <c r="F7" s="6" t="s">
        <v>984</v>
      </c>
      <c r="G7" s="18">
        <v>3</v>
      </c>
      <c r="H7" s="7" t="s">
        <v>401</v>
      </c>
    </row>
    <row r="8" spans="1:8" ht="129.75" customHeight="1" x14ac:dyDescent="0.3">
      <c r="A8" s="17">
        <v>46334</v>
      </c>
      <c r="B8" s="7" t="str">
        <f t="shared" si="0"/>
        <v>Sun</v>
      </c>
      <c r="C8" s="6" t="s">
        <v>989</v>
      </c>
      <c r="D8" s="6" t="s">
        <v>990</v>
      </c>
      <c r="E8" s="6" t="s">
        <v>991</v>
      </c>
      <c r="F8" s="6" t="s">
        <v>992</v>
      </c>
      <c r="G8" s="18">
        <v>1</v>
      </c>
      <c r="H8" s="7" t="s">
        <v>401</v>
      </c>
    </row>
    <row r="9" spans="1:8" ht="129.75" customHeight="1" x14ac:dyDescent="0.3">
      <c r="A9" s="17">
        <v>46341</v>
      </c>
      <c r="B9" s="7" t="str">
        <f t="shared" si="0"/>
        <v>Sun</v>
      </c>
      <c r="C9" s="6" t="s">
        <v>993</v>
      </c>
      <c r="D9" s="6" t="s">
        <v>982</v>
      </c>
      <c r="E9" s="6" t="s">
        <v>994</v>
      </c>
      <c r="F9" s="6" t="s">
        <v>984</v>
      </c>
      <c r="G9" s="18">
        <v>3</v>
      </c>
      <c r="H9" s="7" t="s">
        <v>401</v>
      </c>
    </row>
    <row r="10" spans="1:8" ht="129.75" customHeight="1" x14ac:dyDescent="0.3">
      <c r="A10" s="17">
        <v>46348</v>
      </c>
      <c r="B10" s="7" t="str">
        <f t="shared" si="0"/>
        <v>Sun</v>
      </c>
      <c r="C10" s="6" t="s">
        <v>995</v>
      </c>
      <c r="D10" s="6" t="s">
        <v>982</v>
      </c>
      <c r="E10" s="6" t="s">
        <v>996</v>
      </c>
      <c r="F10" s="6" t="s">
        <v>984</v>
      </c>
      <c r="G10" s="18">
        <v>3</v>
      </c>
      <c r="H10" s="7" t="s">
        <v>401</v>
      </c>
    </row>
    <row r="11" spans="1:8" ht="129.75" customHeight="1" x14ac:dyDescent="0.3">
      <c r="A11" s="17">
        <v>46355</v>
      </c>
      <c r="B11" s="7" t="str">
        <f t="shared" si="0"/>
        <v>Sun</v>
      </c>
      <c r="C11" s="6" t="s">
        <v>997</v>
      </c>
      <c r="D11" s="6" t="s">
        <v>982</v>
      </c>
      <c r="E11" s="6" t="s">
        <v>998</v>
      </c>
      <c r="F11" s="6" t="s">
        <v>984</v>
      </c>
      <c r="G11" s="18">
        <v>3</v>
      </c>
      <c r="H11" s="7" t="s">
        <v>401</v>
      </c>
    </row>
    <row r="12" spans="1:8" ht="129.75" customHeight="1" x14ac:dyDescent="0.3">
      <c r="A12" s="17">
        <v>46362</v>
      </c>
      <c r="B12" s="7" t="str">
        <f t="shared" si="0"/>
        <v>Sun</v>
      </c>
      <c r="C12" s="6" t="s">
        <v>999</v>
      </c>
      <c r="D12" s="6" t="s">
        <v>982</v>
      </c>
      <c r="E12" s="6" t="s">
        <v>1000</v>
      </c>
      <c r="F12" s="6" t="s">
        <v>1001</v>
      </c>
      <c r="G12" s="18">
        <v>3</v>
      </c>
      <c r="H12" s="7" t="s">
        <v>401</v>
      </c>
    </row>
  </sheetData>
  <mergeCells count="2">
    <mergeCell ref="A2:E2"/>
    <mergeCell ref="A1:E1"/>
  </mergeCells>
  <conditionalFormatting sqref="H5:H12">
    <cfRule type="cellIs" dxfId="3" priority="2" operator="equal">
      <formula>"Done"</formula>
    </cfRule>
    <cfRule type="cellIs" dxfId="2" priority="3" operator="equal">
      <formula>"In Progress"</formula>
    </cfRule>
  </conditionalFormatting>
  <dataValidations count="1">
    <dataValidation type="list" allowBlank="1" sqref="H5:H12" xr:uid="{00000000-0002-0000-0B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zoomScaleNormal="100" workbookViewId="0">
      <pane xSplit="2" ySplit="4" topLeftCell="C6" activePane="bottomRight" state="frozen"/>
      <selection pane="topRight" activeCell="C1" sqref="C1"/>
      <selection pane="bottomLeft" activeCell="A5" sqref="A5"/>
      <selection pane="bottomRight" activeCell="A2" sqref="A2:F2"/>
    </sheetView>
  </sheetViews>
  <sheetFormatPr defaultColWidth="8.6640625" defaultRowHeight="14.4" x14ac:dyDescent="0.3"/>
  <cols>
    <col min="1" max="1" width="11" customWidth="1"/>
    <col min="2" max="2" width="6" customWidth="1"/>
    <col min="3" max="3" width="26" customWidth="1"/>
    <col min="4" max="4" width="20" customWidth="1"/>
    <col min="5" max="5" width="34" customWidth="1"/>
    <col min="6" max="6" width="70" customWidth="1"/>
    <col min="7" max="7" width="32" customWidth="1"/>
    <col min="8" max="8" width="9" customWidth="1"/>
    <col min="9" max="9" width="13" customWidth="1"/>
  </cols>
  <sheetData>
    <row r="1" spans="1:9" ht="17.399999999999999" customHeight="1" x14ac:dyDescent="0.3">
      <c r="A1" s="34" t="s">
        <v>1002</v>
      </c>
      <c r="B1" s="33"/>
      <c r="C1" s="33"/>
      <c r="D1" s="33"/>
      <c r="E1" s="33"/>
      <c r="F1" s="33"/>
    </row>
    <row r="2" spans="1:9" x14ac:dyDescent="0.3">
      <c r="A2" s="32" t="s">
        <v>1003</v>
      </c>
      <c r="B2" s="33"/>
      <c r="C2" s="33"/>
      <c r="D2" s="33"/>
      <c r="E2" s="33"/>
      <c r="F2" s="33"/>
    </row>
    <row r="4" spans="1:9" ht="26.4" customHeight="1" x14ac:dyDescent="0.3">
      <c r="A4" s="5" t="s">
        <v>190</v>
      </c>
      <c r="B4" s="5" t="s">
        <v>191</v>
      </c>
      <c r="C4" s="5" t="s">
        <v>1004</v>
      </c>
      <c r="D4" s="5" t="s">
        <v>2</v>
      </c>
      <c r="E4" s="5" t="s">
        <v>1005</v>
      </c>
      <c r="F4" s="5" t="s">
        <v>1006</v>
      </c>
      <c r="G4" s="5" t="s">
        <v>1007</v>
      </c>
      <c r="H4" s="5" t="s">
        <v>980</v>
      </c>
      <c r="I4" s="5" t="s">
        <v>160</v>
      </c>
    </row>
    <row r="5" spans="1:9" ht="84" customHeight="1" x14ac:dyDescent="0.3">
      <c r="A5" s="17">
        <v>46367</v>
      </c>
      <c r="B5" s="7" t="str">
        <f t="shared" ref="B5:B25" si="0">TEXT(A5,"ddd")</f>
        <v>Fri</v>
      </c>
      <c r="C5" s="6" t="s">
        <v>313</v>
      </c>
      <c r="D5" s="6" t="s">
        <v>314</v>
      </c>
      <c r="E5" s="6" t="s">
        <v>315</v>
      </c>
      <c r="F5" s="6" t="s">
        <v>1008</v>
      </c>
      <c r="G5" s="6" t="s">
        <v>1009</v>
      </c>
      <c r="H5" s="18">
        <v>3</v>
      </c>
      <c r="I5" s="7" t="s">
        <v>401</v>
      </c>
    </row>
    <row r="6" spans="1:9" ht="84" customHeight="1" x14ac:dyDescent="0.3">
      <c r="A6" s="17">
        <v>46368</v>
      </c>
      <c r="B6" s="7" t="str">
        <f t="shared" si="0"/>
        <v>Sat</v>
      </c>
      <c r="C6" s="6" t="s">
        <v>313</v>
      </c>
      <c r="D6" s="6" t="s">
        <v>314</v>
      </c>
      <c r="E6" s="6" t="s">
        <v>316</v>
      </c>
      <c r="F6" s="6" t="s">
        <v>1010</v>
      </c>
      <c r="G6" s="6" t="s">
        <v>1009</v>
      </c>
      <c r="H6" s="18">
        <v>3</v>
      </c>
      <c r="I6" s="7" t="s">
        <v>401</v>
      </c>
    </row>
    <row r="7" spans="1:9" ht="84" customHeight="1" x14ac:dyDescent="0.3">
      <c r="A7" s="17">
        <v>46369</v>
      </c>
      <c r="B7" s="7" t="str">
        <f t="shared" si="0"/>
        <v>Sun</v>
      </c>
      <c r="C7" s="6" t="s">
        <v>317</v>
      </c>
      <c r="D7" s="6" t="s">
        <v>314</v>
      </c>
      <c r="E7" s="6" t="s">
        <v>318</v>
      </c>
      <c r="F7" s="6" t="s">
        <v>1011</v>
      </c>
      <c r="G7" s="6" t="s">
        <v>1012</v>
      </c>
      <c r="H7" s="18">
        <v>3</v>
      </c>
      <c r="I7" s="7" t="s">
        <v>401</v>
      </c>
    </row>
    <row r="8" spans="1:9" ht="84" customHeight="1" x14ac:dyDescent="0.3">
      <c r="A8" s="17">
        <v>46370</v>
      </c>
      <c r="B8" s="7" t="str">
        <f t="shared" si="0"/>
        <v>Mon</v>
      </c>
      <c r="C8" s="6" t="s">
        <v>313</v>
      </c>
      <c r="D8" s="6" t="s">
        <v>319</v>
      </c>
      <c r="E8" s="6" t="s">
        <v>320</v>
      </c>
      <c r="F8" s="6" t="s">
        <v>1013</v>
      </c>
      <c r="G8" s="6" t="s">
        <v>1014</v>
      </c>
      <c r="H8" s="18">
        <v>3</v>
      </c>
      <c r="I8" s="7" t="s">
        <v>401</v>
      </c>
    </row>
    <row r="9" spans="1:9" ht="84" customHeight="1" x14ac:dyDescent="0.3">
      <c r="A9" s="23">
        <v>46371</v>
      </c>
      <c r="B9" s="24" t="str">
        <f t="shared" si="0"/>
        <v>Tue</v>
      </c>
      <c r="C9" s="25" t="s">
        <v>321</v>
      </c>
      <c r="D9" s="25" t="s">
        <v>314</v>
      </c>
      <c r="E9" s="25" t="s">
        <v>322</v>
      </c>
      <c r="F9" s="25" t="s">
        <v>1015</v>
      </c>
      <c r="G9" s="25" t="s">
        <v>1016</v>
      </c>
      <c r="H9" s="26">
        <v>1</v>
      </c>
      <c r="I9" s="24" t="s">
        <v>401</v>
      </c>
    </row>
    <row r="10" spans="1:9" ht="84" customHeight="1" x14ac:dyDescent="0.3">
      <c r="A10" s="17">
        <v>46372</v>
      </c>
      <c r="B10" s="7" t="str">
        <f t="shared" si="0"/>
        <v>Wed</v>
      </c>
      <c r="C10" s="6" t="s">
        <v>313</v>
      </c>
      <c r="D10" s="6" t="s">
        <v>324</v>
      </c>
      <c r="E10" s="6" t="s">
        <v>325</v>
      </c>
      <c r="F10" s="6" t="s">
        <v>1017</v>
      </c>
      <c r="G10" s="6" t="s">
        <v>1018</v>
      </c>
      <c r="H10" s="18">
        <v>3</v>
      </c>
      <c r="I10" s="7" t="s">
        <v>401</v>
      </c>
    </row>
    <row r="11" spans="1:9" ht="84" customHeight="1" x14ac:dyDescent="0.3">
      <c r="A11" s="23">
        <v>46373</v>
      </c>
      <c r="B11" s="24" t="str">
        <f t="shared" si="0"/>
        <v>Thu</v>
      </c>
      <c r="C11" s="25" t="s">
        <v>326</v>
      </c>
      <c r="D11" s="25" t="s">
        <v>324</v>
      </c>
      <c r="E11" s="25" t="s">
        <v>327</v>
      </c>
      <c r="F11" s="25" t="s">
        <v>1019</v>
      </c>
      <c r="G11" s="25" t="s">
        <v>1014</v>
      </c>
      <c r="H11" s="26">
        <v>1</v>
      </c>
      <c r="I11" s="24" t="s">
        <v>401</v>
      </c>
    </row>
    <row r="12" spans="1:9" ht="84" customHeight="1" x14ac:dyDescent="0.3">
      <c r="A12" s="17">
        <v>46374</v>
      </c>
      <c r="B12" s="7" t="str">
        <f t="shared" si="0"/>
        <v>Fri</v>
      </c>
      <c r="C12" s="6" t="s">
        <v>313</v>
      </c>
      <c r="D12" s="6" t="s">
        <v>328</v>
      </c>
      <c r="E12" s="6" t="s">
        <v>329</v>
      </c>
      <c r="F12" s="6" t="s">
        <v>1020</v>
      </c>
      <c r="G12" s="6" t="s">
        <v>1021</v>
      </c>
      <c r="H12" s="18">
        <v>3</v>
      </c>
      <c r="I12" s="7" t="s">
        <v>401</v>
      </c>
    </row>
    <row r="13" spans="1:9" ht="84" customHeight="1" x14ac:dyDescent="0.3">
      <c r="A13" s="23">
        <v>46375</v>
      </c>
      <c r="B13" s="24" t="str">
        <f t="shared" si="0"/>
        <v>Sat</v>
      </c>
      <c r="C13" s="25" t="s">
        <v>330</v>
      </c>
      <c r="D13" s="25" t="s">
        <v>328</v>
      </c>
      <c r="E13" s="25" t="s">
        <v>331</v>
      </c>
      <c r="F13" s="25" t="s">
        <v>1022</v>
      </c>
      <c r="G13" s="25" t="s">
        <v>1014</v>
      </c>
      <c r="H13" s="26">
        <v>1</v>
      </c>
      <c r="I13" s="24" t="s">
        <v>401</v>
      </c>
    </row>
    <row r="14" spans="1:9" ht="84" customHeight="1" x14ac:dyDescent="0.3">
      <c r="A14" s="17">
        <v>46376</v>
      </c>
      <c r="B14" s="7" t="str">
        <f t="shared" si="0"/>
        <v>Sun</v>
      </c>
      <c r="C14" s="6" t="s">
        <v>317</v>
      </c>
      <c r="D14" s="6" t="s">
        <v>332</v>
      </c>
      <c r="E14" s="6" t="s">
        <v>333</v>
      </c>
      <c r="F14" s="6" t="s">
        <v>1023</v>
      </c>
      <c r="G14" s="6" t="s">
        <v>1024</v>
      </c>
      <c r="H14" s="18">
        <v>3</v>
      </c>
      <c r="I14" s="7" t="s">
        <v>401</v>
      </c>
    </row>
    <row r="15" spans="1:9" ht="84" customHeight="1" x14ac:dyDescent="0.3">
      <c r="A15" s="17">
        <v>46377</v>
      </c>
      <c r="B15" s="7" t="str">
        <f t="shared" si="0"/>
        <v>Mon</v>
      </c>
      <c r="C15" s="6" t="s">
        <v>313</v>
      </c>
      <c r="D15" s="6" t="s">
        <v>332</v>
      </c>
      <c r="E15" s="6" t="s">
        <v>1025</v>
      </c>
      <c r="F15" s="6" t="s">
        <v>1026</v>
      </c>
      <c r="G15" s="6" t="s">
        <v>1027</v>
      </c>
      <c r="H15" s="18">
        <v>3</v>
      </c>
      <c r="I15" s="7" t="s">
        <v>401</v>
      </c>
    </row>
    <row r="16" spans="1:9" ht="84" customHeight="1" x14ac:dyDescent="0.3">
      <c r="A16" s="23">
        <v>46378</v>
      </c>
      <c r="B16" s="24" t="str">
        <f t="shared" si="0"/>
        <v>Tue</v>
      </c>
      <c r="C16" s="25" t="s">
        <v>336</v>
      </c>
      <c r="D16" s="25" t="s">
        <v>332</v>
      </c>
      <c r="E16" s="25" t="s">
        <v>337</v>
      </c>
      <c r="F16" s="25" t="s">
        <v>1028</v>
      </c>
      <c r="G16" s="25" t="s">
        <v>1016</v>
      </c>
      <c r="H16" s="26">
        <v>1</v>
      </c>
      <c r="I16" s="24" t="s">
        <v>401</v>
      </c>
    </row>
    <row r="17" spans="1:9" ht="84" customHeight="1" x14ac:dyDescent="0.3">
      <c r="A17" s="17">
        <v>46379</v>
      </c>
      <c r="B17" s="7" t="str">
        <f t="shared" si="0"/>
        <v>Wed</v>
      </c>
      <c r="C17" s="6" t="s">
        <v>313</v>
      </c>
      <c r="D17" s="6" t="s">
        <v>338</v>
      </c>
      <c r="E17" s="6" t="s">
        <v>339</v>
      </c>
      <c r="F17" s="6" t="s">
        <v>1029</v>
      </c>
      <c r="G17" s="6" t="s">
        <v>1030</v>
      </c>
      <c r="H17" s="18">
        <v>3</v>
      </c>
      <c r="I17" s="7" t="s">
        <v>401</v>
      </c>
    </row>
    <row r="18" spans="1:9" ht="84" customHeight="1" x14ac:dyDescent="0.3">
      <c r="A18" s="23">
        <v>46380</v>
      </c>
      <c r="B18" s="24" t="str">
        <f t="shared" si="0"/>
        <v>Thu</v>
      </c>
      <c r="C18" s="25" t="s">
        <v>340</v>
      </c>
      <c r="D18" s="25" t="s">
        <v>338</v>
      </c>
      <c r="E18" s="25" t="s">
        <v>341</v>
      </c>
      <c r="F18" s="25" t="s">
        <v>1031</v>
      </c>
      <c r="G18" s="25" t="s">
        <v>1014</v>
      </c>
      <c r="H18" s="26">
        <v>1</v>
      </c>
      <c r="I18" s="24" t="s">
        <v>401</v>
      </c>
    </row>
    <row r="19" spans="1:9" ht="84" customHeight="1" x14ac:dyDescent="0.3">
      <c r="A19" s="17">
        <v>46381</v>
      </c>
      <c r="B19" s="7" t="str">
        <f t="shared" si="0"/>
        <v>Fri</v>
      </c>
      <c r="C19" s="6" t="s">
        <v>313</v>
      </c>
      <c r="D19" s="6" t="s">
        <v>342</v>
      </c>
      <c r="E19" s="6" t="s">
        <v>343</v>
      </c>
      <c r="F19" s="6" t="s">
        <v>1032</v>
      </c>
      <c r="G19" s="6" t="s">
        <v>1030</v>
      </c>
      <c r="H19" s="18">
        <v>3</v>
      </c>
      <c r="I19" s="7" t="s">
        <v>401</v>
      </c>
    </row>
    <row r="20" spans="1:9" ht="84" customHeight="1" x14ac:dyDescent="0.3">
      <c r="A20" s="17">
        <v>46382</v>
      </c>
      <c r="B20" s="7" t="str">
        <f t="shared" si="0"/>
        <v>Sat</v>
      </c>
      <c r="C20" s="6" t="s">
        <v>313</v>
      </c>
      <c r="D20" s="6" t="s">
        <v>342</v>
      </c>
      <c r="E20" s="6" t="s">
        <v>344</v>
      </c>
      <c r="F20" s="6" t="s">
        <v>1033</v>
      </c>
      <c r="G20" s="6" t="s">
        <v>1030</v>
      </c>
      <c r="H20" s="18">
        <v>3</v>
      </c>
      <c r="I20" s="7" t="s">
        <v>401</v>
      </c>
    </row>
    <row r="21" spans="1:9" ht="84" customHeight="1" x14ac:dyDescent="0.3">
      <c r="A21" s="17">
        <v>46383</v>
      </c>
      <c r="B21" s="7" t="str">
        <f t="shared" si="0"/>
        <v>Sun</v>
      </c>
      <c r="C21" s="6" t="s">
        <v>317</v>
      </c>
      <c r="D21" s="6" t="s">
        <v>342</v>
      </c>
      <c r="E21" s="6" t="s">
        <v>345</v>
      </c>
      <c r="F21" s="6" t="s">
        <v>1034</v>
      </c>
      <c r="G21" s="6" t="s">
        <v>1035</v>
      </c>
      <c r="H21" s="18">
        <v>3</v>
      </c>
      <c r="I21" s="7" t="s">
        <v>401</v>
      </c>
    </row>
    <row r="22" spans="1:9" ht="84" customHeight="1" x14ac:dyDescent="0.3">
      <c r="A22" s="23">
        <v>46384</v>
      </c>
      <c r="B22" s="24" t="str">
        <f t="shared" si="0"/>
        <v>Mon</v>
      </c>
      <c r="C22" s="25" t="s">
        <v>346</v>
      </c>
      <c r="D22" s="25" t="s">
        <v>342</v>
      </c>
      <c r="E22" s="25" t="s">
        <v>347</v>
      </c>
      <c r="F22" s="25" t="s">
        <v>1036</v>
      </c>
      <c r="G22" s="25" t="s">
        <v>1014</v>
      </c>
      <c r="H22" s="26">
        <v>1</v>
      </c>
      <c r="I22" s="24" t="s">
        <v>401</v>
      </c>
    </row>
    <row r="23" spans="1:9" ht="84" customHeight="1" x14ac:dyDescent="0.3">
      <c r="A23" s="17">
        <v>46385</v>
      </c>
      <c r="B23" s="7" t="str">
        <f t="shared" si="0"/>
        <v>Tue</v>
      </c>
      <c r="C23" s="6" t="s">
        <v>348</v>
      </c>
      <c r="D23" s="6" t="s">
        <v>349</v>
      </c>
      <c r="E23" s="6" t="s">
        <v>350</v>
      </c>
      <c r="F23" s="6" t="s">
        <v>1037</v>
      </c>
      <c r="G23" s="6" t="s">
        <v>1038</v>
      </c>
      <c r="H23" s="18">
        <v>3</v>
      </c>
      <c r="I23" s="7" t="s">
        <v>401</v>
      </c>
    </row>
    <row r="24" spans="1:9" ht="84" customHeight="1" x14ac:dyDescent="0.3">
      <c r="A24" s="17">
        <v>46386</v>
      </c>
      <c r="B24" s="7" t="str">
        <f t="shared" si="0"/>
        <v>Wed</v>
      </c>
      <c r="C24" s="6" t="s">
        <v>348</v>
      </c>
      <c r="D24" s="6" t="s">
        <v>353</v>
      </c>
      <c r="E24" s="6" t="s">
        <v>354</v>
      </c>
      <c r="F24" s="6" t="s">
        <v>1039</v>
      </c>
      <c r="G24" s="6" t="s">
        <v>1040</v>
      </c>
      <c r="H24" s="18">
        <v>3</v>
      </c>
      <c r="I24" s="7" t="s">
        <v>401</v>
      </c>
    </row>
    <row r="25" spans="1:9" ht="84" customHeight="1" x14ac:dyDescent="0.3">
      <c r="A25" s="17">
        <v>46387</v>
      </c>
      <c r="B25" s="7" t="str">
        <f t="shared" si="0"/>
        <v>Thu</v>
      </c>
      <c r="C25" s="6" t="s">
        <v>348</v>
      </c>
      <c r="D25" s="6" t="s">
        <v>356</v>
      </c>
      <c r="E25" s="6" t="s">
        <v>357</v>
      </c>
      <c r="F25" s="6" t="s">
        <v>1041</v>
      </c>
      <c r="G25" s="6" t="s">
        <v>1042</v>
      </c>
      <c r="H25" s="18">
        <v>3</v>
      </c>
      <c r="I25" s="7" t="s">
        <v>401</v>
      </c>
    </row>
  </sheetData>
  <mergeCells count="2">
    <mergeCell ref="A2:F2"/>
    <mergeCell ref="A1:F1"/>
  </mergeCells>
  <conditionalFormatting sqref="I5:I25">
    <cfRule type="cellIs" dxfId="1" priority="2" operator="equal">
      <formula>"Done"</formula>
    </cfRule>
    <cfRule type="cellIs" dxfId="0" priority="3" operator="equal">
      <formula>"In Progress"</formula>
    </cfRule>
  </conditionalFormatting>
  <dataValidations count="1">
    <dataValidation type="list" allowBlank="1" sqref="I5:I25" xr:uid="{00000000-0002-0000-0C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topLeftCell="B1" zoomScaleNormal="100" workbookViewId="0">
      <pane ySplit="4" topLeftCell="A5" activePane="bottomLeft" state="frozen"/>
      <selection pane="bottomLeft" activeCell="G5" sqref="G5"/>
    </sheetView>
  </sheetViews>
  <sheetFormatPr defaultColWidth="8.6640625" defaultRowHeight="14.4" x14ac:dyDescent="0.3"/>
  <cols>
    <col min="1" max="1" width="22" customWidth="1"/>
    <col min="2" max="2" width="30" customWidth="1"/>
    <col min="3" max="3" width="70" customWidth="1"/>
    <col min="4" max="4" width="42" customWidth="1"/>
    <col min="5" max="5" width="28" customWidth="1"/>
    <col min="6" max="6" width="9" customWidth="1"/>
    <col min="7" max="7" width="16" customWidth="1"/>
  </cols>
  <sheetData>
    <row r="1" spans="1:7" ht="17.399999999999999" customHeight="1" x14ac:dyDescent="0.3">
      <c r="A1" s="34" t="s">
        <v>0</v>
      </c>
      <c r="B1" s="33"/>
      <c r="C1" s="33"/>
      <c r="D1" s="33"/>
      <c r="E1" s="33"/>
    </row>
    <row r="2" spans="1:7" x14ac:dyDescent="0.3">
      <c r="A2" s="32" t="s">
        <v>1</v>
      </c>
      <c r="B2" s="33"/>
      <c r="C2" s="33"/>
      <c r="D2" s="33"/>
      <c r="E2" s="33"/>
    </row>
    <row r="4" spans="1:7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ht="43.5" customHeight="1" x14ac:dyDescent="0.3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7">
        <v>40</v>
      </c>
      <c r="G5" s="30" t="s">
        <v>14</v>
      </c>
    </row>
    <row r="6" spans="1:7" ht="43.5" customHeight="1" x14ac:dyDescent="0.3">
      <c r="A6" s="6" t="s">
        <v>9</v>
      </c>
      <c r="B6" s="6" t="s">
        <v>15</v>
      </c>
      <c r="C6" s="6" t="s">
        <v>16</v>
      </c>
      <c r="D6" s="6" t="s">
        <v>17</v>
      </c>
      <c r="E6" s="6" t="s">
        <v>18</v>
      </c>
      <c r="F6" s="7">
        <v>55</v>
      </c>
      <c r="G6" s="30" t="s">
        <v>14</v>
      </c>
    </row>
    <row r="7" spans="1:7" ht="43.5" customHeight="1" x14ac:dyDescent="0.3">
      <c r="A7" s="6" t="s">
        <v>19</v>
      </c>
      <c r="B7" s="6" t="s">
        <v>10</v>
      </c>
      <c r="C7" s="6" t="s">
        <v>20</v>
      </c>
      <c r="D7" s="6" t="s">
        <v>21</v>
      </c>
      <c r="E7" s="6" t="s">
        <v>22</v>
      </c>
      <c r="F7" s="7">
        <v>40</v>
      </c>
      <c r="G7" s="30" t="s">
        <v>14</v>
      </c>
    </row>
    <row r="8" spans="1:7" ht="43.5" customHeight="1" x14ac:dyDescent="0.3">
      <c r="A8" s="6" t="s">
        <v>19</v>
      </c>
      <c r="B8" s="6" t="s">
        <v>15</v>
      </c>
      <c r="C8" s="6" t="s">
        <v>23</v>
      </c>
      <c r="D8" s="6" t="s">
        <v>24</v>
      </c>
      <c r="E8" s="6" t="s">
        <v>25</v>
      </c>
      <c r="F8" s="7">
        <v>23</v>
      </c>
      <c r="G8" s="30" t="s">
        <v>14</v>
      </c>
    </row>
    <row r="9" spans="1:7" ht="43.5" customHeight="1" x14ac:dyDescent="0.3">
      <c r="A9" s="6" t="s">
        <v>19</v>
      </c>
      <c r="B9" s="6" t="s">
        <v>26</v>
      </c>
      <c r="C9" s="6" t="s">
        <v>27</v>
      </c>
      <c r="D9" s="6" t="s">
        <v>28</v>
      </c>
      <c r="E9" s="6" t="s">
        <v>29</v>
      </c>
      <c r="F9" s="7">
        <v>36</v>
      </c>
      <c r="G9" s="30" t="s">
        <v>14</v>
      </c>
    </row>
    <row r="10" spans="1:7" ht="43.5" customHeight="1" x14ac:dyDescent="0.3">
      <c r="A10" s="6" t="s">
        <v>30</v>
      </c>
      <c r="B10" s="6" t="s">
        <v>10</v>
      </c>
      <c r="C10" s="6" t="s">
        <v>31</v>
      </c>
      <c r="D10" s="6" t="s">
        <v>32</v>
      </c>
      <c r="E10" s="6" t="s">
        <v>33</v>
      </c>
      <c r="F10" s="7">
        <v>163</v>
      </c>
      <c r="G10" s="30" t="s">
        <v>14</v>
      </c>
    </row>
    <row r="11" spans="1:7" ht="43.5" customHeight="1" x14ac:dyDescent="0.3">
      <c r="A11" s="6" t="s">
        <v>30</v>
      </c>
      <c r="B11" s="6" t="s">
        <v>15</v>
      </c>
      <c r="C11" s="6" t="s">
        <v>34</v>
      </c>
      <c r="D11" s="6" t="s">
        <v>35</v>
      </c>
      <c r="E11" s="6" t="s">
        <v>36</v>
      </c>
      <c r="F11" s="7">
        <v>18</v>
      </c>
      <c r="G11" s="30" t="s">
        <v>14</v>
      </c>
    </row>
    <row r="12" spans="1:7" ht="43.5" customHeight="1" x14ac:dyDescent="0.3">
      <c r="A12" s="6" t="s">
        <v>30</v>
      </c>
      <c r="B12" s="6" t="s">
        <v>26</v>
      </c>
      <c r="C12" s="6" t="s">
        <v>37</v>
      </c>
      <c r="D12" s="6" t="s">
        <v>38</v>
      </c>
      <c r="E12" s="6" t="s">
        <v>29</v>
      </c>
      <c r="F12" s="7">
        <v>34</v>
      </c>
      <c r="G12" s="30" t="s">
        <v>14</v>
      </c>
    </row>
    <row r="13" spans="1:7" ht="43.5" customHeight="1" x14ac:dyDescent="0.3">
      <c r="A13" s="6" t="s">
        <v>39</v>
      </c>
      <c r="B13" s="6" t="s">
        <v>10</v>
      </c>
      <c r="C13" s="6" t="s">
        <v>40</v>
      </c>
      <c r="D13" s="6" t="s">
        <v>41</v>
      </c>
      <c r="E13" s="6" t="s">
        <v>41</v>
      </c>
      <c r="F13" s="7">
        <v>49</v>
      </c>
      <c r="G13" s="30" t="s">
        <v>14</v>
      </c>
    </row>
    <row r="14" spans="1:7" ht="43.5" customHeight="1" x14ac:dyDescent="0.3">
      <c r="A14" s="6" t="s">
        <v>39</v>
      </c>
      <c r="B14" s="6" t="s">
        <v>15</v>
      </c>
      <c r="C14" s="6" t="s">
        <v>42</v>
      </c>
      <c r="D14" s="6" t="s">
        <v>43</v>
      </c>
      <c r="E14" s="6" t="s">
        <v>36</v>
      </c>
      <c r="F14" s="7">
        <v>22</v>
      </c>
      <c r="G14" s="30" t="s">
        <v>14</v>
      </c>
    </row>
    <row r="15" spans="1:7" ht="43.5" customHeight="1" x14ac:dyDescent="0.3">
      <c r="A15" s="6" t="s">
        <v>39</v>
      </c>
      <c r="B15" s="6" t="s">
        <v>26</v>
      </c>
      <c r="C15" s="6" t="s">
        <v>44</v>
      </c>
      <c r="D15" s="6" t="s">
        <v>43</v>
      </c>
      <c r="E15" s="6" t="s">
        <v>36</v>
      </c>
      <c r="F15" s="7">
        <v>10</v>
      </c>
      <c r="G15" s="30" t="s">
        <v>14</v>
      </c>
    </row>
    <row r="16" spans="1:7" ht="43.5" customHeight="1" x14ac:dyDescent="0.3">
      <c r="A16" s="6" t="s">
        <v>39</v>
      </c>
      <c r="B16" s="6" t="s">
        <v>26</v>
      </c>
      <c r="C16" s="6" t="s">
        <v>45</v>
      </c>
      <c r="D16" s="6" t="s">
        <v>46</v>
      </c>
      <c r="E16" s="6" t="s">
        <v>47</v>
      </c>
      <c r="F16" s="7">
        <v>48</v>
      </c>
      <c r="G16" s="30" t="s">
        <v>14</v>
      </c>
    </row>
    <row r="17" spans="1:7" ht="43.5" customHeight="1" x14ac:dyDescent="0.3">
      <c r="A17" s="6" t="s">
        <v>48</v>
      </c>
      <c r="B17" s="6" t="s">
        <v>10</v>
      </c>
      <c r="C17" s="6" t="s">
        <v>49</v>
      </c>
      <c r="D17" s="6" t="s">
        <v>50</v>
      </c>
      <c r="E17" s="6" t="s">
        <v>25</v>
      </c>
      <c r="F17" s="7">
        <v>62</v>
      </c>
      <c r="G17" s="30" t="s">
        <v>14</v>
      </c>
    </row>
    <row r="18" spans="1:7" ht="43.5" customHeight="1" x14ac:dyDescent="0.3">
      <c r="A18" s="6" t="s">
        <v>48</v>
      </c>
      <c r="B18" s="6" t="s">
        <v>15</v>
      </c>
      <c r="C18" s="6" t="s">
        <v>51</v>
      </c>
      <c r="D18" s="6" t="s">
        <v>43</v>
      </c>
      <c r="E18" s="6" t="s">
        <v>36</v>
      </c>
      <c r="F18" s="7">
        <v>11</v>
      </c>
      <c r="G18" s="30" t="s">
        <v>14</v>
      </c>
    </row>
    <row r="19" spans="1:7" ht="43.5" customHeight="1" x14ac:dyDescent="0.3">
      <c r="A19" s="6" t="s">
        <v>48</v>
      </c>
      <c r="B19" s="6" t="s">
        <v>26</v>
      </c>
      <c r="C19" s="6" t="s">
        <v>52</v>
      </c>
      <c r="D19" s="6" t="s">
        <v>53</v>
      </c>
      <c r="E19" s="6" t="s">
        <v>54</v>
      </c>
      <c r="F19" s="7">
        <v>39</v>
      </c>
      <c r="G19" s="30" t="s">
        <v>14</v>
      </c>
    </row>
    <row r="20" spans="1:7" ht="43.5" customHeight="1" x14ac:dyDescent="0.3">
      <c r="A20" s="6" t="s">
        <v>55</v>
      </c>
      <c r="B20" s="6" t="s">
        <v>10</v>
      </c>
      <c r="C20" s="6" t="s">
        <v>56</v>
      </c>
      <c r="D20" s="6" t="s">
        <v>57</v>
      </c>
      <c r="E20" s="6" t="s">
        <v>58</v>
      </c>
      <c r="F20" s="7">
        <v>202</v>
      </c>
      <c r="G20" s="30" t="s">
        <v>14</v>
      </c>
    </row>
    <row r="21" spans="1:7" ht="43.5" customHeight="1" x14ac:dyDescent="0.3">
      <c r="A21" s="6" t="s">
        <v>55</v>
      </c>
      <c r="B21" s="6" t="s">
        <v>15</v>
      </c>
      <c r="C21" s="6" t="s">
        <v>59</v>
      </c>
      <c r="D21" s="6" t="s">
        <v>43</v>
      </c>
      <c r="E21" s="6" t="s">
        <v>36</v>
      </c>
      <c r="F21" s="7">
        <v>23</v>
      </c>
      <c r="G21" s="30" t="s">
        <v>14</v>
      </c>
    </row>
    <row r="22" spans="1:7" ht="43.5" customHeight="1" x14ac:dyDescent="0.3">
      <c r="A22" s="6" t="s">
        <v>55</v>
      </c>
      <c r="B22" s="6" t="s">
        <v>26</v>
      </c>
      <c r="C22" s="6" t="s">
        <v>60</v>
      </c>
      <c r="D22" s="6" t="s">
        <v>61</v>
      </c>
      <c r="E22" s="6" t="s">
        <v>62</v>
      </c>
      <c r="F22" s="7">
        <v>61</v>
      </c>
      <c r="G22" s="30" t="s">
        <v>14</v>
      </c>
    </row>
    <row r="23" spans="1:7" ht="43.5" customHeight="1" x14ac:dyDescent="0.3">
      <c r="A23" s="6" t="s">
        <v>63</v>
      </c>
      <c r="B23" s="6" t="s">
        <v>64</v>
      </c>
      <c r="C23" s="6" t="s">
        <v>65</v>
      </c>
      <c r="D23" s="6" t="s">
        <v>43</v>
      </c>
      <c r="E23" s="6" t="s">
        <v>36</v>
      </c>
      <c r="F23" s="7">
        <v>17</v>
      </c>
      <c r="G23" s="30" t="s">
        <v>14</v>
      </c>
    </row>
    <row r="24" spans="1:7" ht="43.5" customHeight="1" x14ac:dyDescent="0.3">
      <c r="A24" s="6" t="s">
        <v>63</v>
      </c>
      <c r="B24" s="6" t="s">
        <v>66</v>
      </c>
      <c r="C24" s="6" t="s">
        <v>67</v>
      </c>
      <c r="D24" s="6" t="s">
        <v>43</v>
      </c>
      <c r="E24" s="6" t="s">
        <v>36</v>
      </c>
      <c r="F24" s="7">
        <v>25</v>
      </c>
      <c r="G24" s="30" t="s">
        <v>14</v>
      </c>
    </row>
    <row r="25" spans="1:7" ht="43.5" customHeight="1" x14ac:dyDescent="0.3">
      <c r="A25" s="6" t="s">
        <v>63</v>
      </c>
      <c r="B25" s="6" t="s">
        <v>68</v>
      </c>
      <c r="C25" s="6" t="s">
        <v>69</v>
      </c>
      <c r="D25" s="6" t="s">
        <v>43</v>
      </c>
      <c r="E25" s="6" t="s">
        <v>36</v>
      </c>
      <c r="F25" s="7">
        <v>59</v>
      </c>
      <c r="G25" s="30" t="s">
        <v>14</v>
      </c>
    </row>
    <row r="26" spans="1:7" ht="43.5" customHeight="1" x14ac:dyDescent="0.3">
      <c r="A26" s="6" t="s">
        <v>63</v>
      </c>
      <c r="B26" s="6" t="s">
        <v>70</v>
      </c>
      <c r="C26" s="6" t="s">
        <v>71</v>
      </c>
      <c r="D26" s="6" t="s">
        <v>43</v>
      </c>
      <c r="E26" s="6" t="s">
        <v>36</v>
      </c>
      <c r="F26" s="7">
        <v>63</v>
      </c>
      <c r="G26" s="30" t="s">
        <v>14</v>
      </c>
    </row>
    <row r="27" spans="1:7" ht="43.5" customHeight="1" x14ac:dyDescent="0.3">
      <c r="A27" s="6" t="s">
        <v>63</v>
      </c>
      <c r="B27" s="6" t="s">
        <v>72</v>
      </c>
      <c r="C27" s="6" t="s">
        <v>73</v>
      </c>
      <c r="D27" s="6" t="s">
        <v>43</v>
      </c>
      <c r="E27" s="6" t="s">
        <v>36</v>
      </c>
      <c r="F27" s="7">
        <v>72</v>
      </c>
      <c r="G27" s="30" t="s">
        <v>14</v>
      </c>
    </row>
    <row r="28" spans="1:7" ht="43.5" customHeight="1" x14ac:dyDescent="0.3">
      <c r="A28" s="6" t="s">
        <v>63</v>
      </c>
      <c r="B28" s="6" t="s">
        <v>74</v>
      </c>
      <c r="C28" s="6" t="s">
        <v>75</v>
      </c>
      <c r="D28" s="6" t="s">
        <v>43</v>
      </c>
      <c r="E28" s="6" t="s">
        <v>36</v>
      </c>
      <c r="F28" s="7">
        <v>12</v>
      </c>
      <c r="G28" s="30" t="s">
        <v>14</v>
      </c>
    </row>
    <row r="29" spans="1:7" ht="43.5" customHeight="1" x14ac:dyDescent="0.3">
      <c r="A29" s="6" t="s">
        <v>63</v>
      </c>
      <c r="B29" s="6" t="s">
        <v>76</v>
      </c>
      <c r="C29" s="6" t="s">
        <v>77</v>
      </c>
      <c r="D29" s="6" t="s">
        <v>43</v>
      </c>
      <c r="E29" s="6" t="s">
        <v>36</v>
      </c>
      <c r="F29" s="7">
        <v>45</v>
      </c>
      <c r="G29" s="30" t="s">
        <v>14</v>
      </c>
    </row>
    <row r="30" spans="1:7" ht="43.5" customHeight="1" x14ac:dyDescent="0.3">
      <c r="A30" s="6" t="s">
        <v>63</v>
      </c>
      <c r="B30" s="6" t="s">
        <v>78</v>
      </c>
      <c r="C30" s="6" t="s">
        <v>79</v>
      </c>
      <c r="D30" s="6" t="s">
        <v>80</v>
      </c>
      <c r="E30" s="6" t="s">
        <v>81</v>
      </c>
      <c r="F30" s="7">
        <v>19</v>
      </c>
      <c r="G30" s="30" t="s">
        <v>14</v>
      </c>
    </row>
    <row r="31" spans="1:7" ht="43.5" customHeight="1" x14ac:dyDescent="0.3">
      <c r="A31" s="6" t="s">
        <v>63</v>
      </c>
      <c r="B31" s="6" t="s">
        <v>82</v>
      </c>
      <c r="C31" s="6" t="s">
        <v>83</v>
      </c>
      <c r="D31" s="6" t="s">
        <v>53</v>
      </c>
      <c r="E31" s="6" t="s">
        <v>54</v>
      </c>
      <c r="F31" s="7">
        <v>21</v>
      </c>
      <c r="G31" s="30" t="s">
        <v>14</v>
      </c>
    </row>
    <row r="32" spans="1:7" ht="43.5" customHeight="1" x14ac:dyDescent="0.3">
      <c r="A32" s="6" t="s">
        <v>63</v>
      </c>
      <c r="B32" s="6" t="s">
        <v>84</v>
      </c>
      <c r="C32" s="6" t="s">
        <v>85</v>
      </c>
      <c r="D32" s="6" t="s">
        <v>86</v>
      </c>
      <c r="E32" s="6" t="s">
        <v>87</v>
      </c>
      <c r="F32" s="7" t="s">
        <v>88</v>
      </c>
      <c r="G32" s="30" t="s">
        <v>14</v>
      </c>
    </row>
    <row r="33" spans="1:7" ht="43.5" customHeight="1" x14ac:dyDescent="0.3">
      <c r="A33" s="6" t="s">
        <v>63</v>
      </c>
      <c r="B33" s="6" t="s">
        <v>89</v>
      </c>
      <c r="C33" s="6" t="s">
        <v>90</v>
      </c>
      <c r="D33" s="6" t="s">
        <v>43</v>
      </c>
      <c r="E33" s="6" t="s">
        <v>36</v>
      </c>
      <c r="F33" s="7">
        <v>5</v>
      </c>
      <c r="G33" s="30" t="s">
        <v>14</v>
      </c>
    </row>
    <row r="34" spans="1:7" ht="43.5" customHeight="1" x14ac:dyDescent="0.3">
      <c r="A34" s="6" t="s">
        <v>63</v>
      </c>
      <c r="B34" s="6" t="s">
        <v>91</v>
      </c>
      <c r="C34" s="6" t="s">
        <v>92</v>
      </c>
      <c r="D34" s="6" t="s">
        <v>93</v>
      </c>
      <c r="E34" s="6" t="s">
        <v>94</v>
      </c>
      <c r="F34" s="7" t="s">
        <v>88</v>
      </c>
      <c r="G34" s="30" t="s">
        <v>14</v>
      </c>
    </row>
    <row r="35" spans="1:7" ht="43.5" customHeight="1" x14ac:dyDescent="0.3">
      <c r="A35" s="6" t="s">
        <v>95</v>
      </c>
      <c r="B35" s="6" t="s">
        <v>96</v>
      </c>
      <c r="C35" s="6" t="s">
        <v>97</v>
      </c>
      <c r="D35" s="6" t="s">
        <v>98</v>
      </c>
      <c r="E35" s="6" t="s">
        <v>88</v>
      </c>
      <c r="F35" s="7" t="s">
        <v>88</v>
      </c>
      <c r="G35" s="30" t="s">
        <v>14</v>
      </c>
    </row>
    <row r="36" spans="1:7" ht="43.5" customHeight="1" x14ac:dyDescent="0.3">
      <c r="A36" s="6" t="s">
        <v>95</v>
      </c>
      <c r="B36" s="6" t="s">
        <v>99</v>
      </c>
      <c r="C36" s="6" t="s">
        <v>100</v>
      </c>
      <c r="D36" s="6" t="s">
        <v>101</v>
      </c>
      <c r="E36" s="6" t="s">
        <v>88</v>
      </c>
      <c r="F36" s="7" t="s">
        <v>88</v>
      </c>
      <c r="G36" s="30" t="s">
        <v>14</v>
      </c>
    </row>
    <row r="37" spans="1:7" ht="43.5" customHeight="1" x14ac:dyDescent="0.3">
      <c r="A37" s="6" t="s">
        <v>95</v>
      </c>
      <c r="B37" s="6" t="s">
        <v>102</v>
      </c>
      <c r="C37" s="6" t="s">
        <v>103</v>
      </c>
      <c r="D37" s="6" t="s">
        <v>104</v>
      </c>
      <c r="E37" s="6" t="s">
        <v>88</v>
      </c>
      <c r="F37" s="7" t="s">
        <v>88</v>
      </c>
      <c r="G37" s="30" t="s">
        <v>14</v>
      </c>
    </row>
  </sheetData>
  <mergeCells count="2">
    <mergeCell ref="A2:E2"/>
    <mergeCell ref="A1:E1"/>
  </mergeCells>
  <hyperlinks>
    <hyperlink ref="G5" r:id="rId1" xr:uid="{00000000-0004-0000-0D00-000000000000}"/>
    <hyperlink ref="G6" r:id="rId2" xr:uid="{00000000-0004-0000-0D00-000001000000}"/>
    <hyperlink ref="G7" r:id="rId3" xr:uid="{00000000-0004-0000-0D00-000002000000}"/>
    <hyperlink ref="G8" r:id="rId4" xr:uid="{00000000-0004-0000-0D00-000003000000}"/>
    <hyperlink ref="G9" r:id="rId5" xr:uid="{00000000-0004-0000-0D00-000004000000}"/>
    <hyperlink ref="G10" r:id="rId6" xr:uid="{00000000-0004-0000-0D00-000005000000}"/>
    <hyperlink ref="G11" r:id="rId7" xr:uid="{00000000-0004-0000-0D00-000006000000}"/>
    <hyperlink ref="G12" r:id="rId8" xr:uid="{00000000-0004-0000-0D00-000007000000}"/>
    <hyperlink ref="G13" r:id="rId9" xr:uid="{00000000-0004-0000-0D00-000008000000}"/>
    <hyperlink ref="G14" r:id="rId10" xr:uid="{00000000-0004-0000-0D00-000009000000}"/>
    <hyperlink ref="G15" r:id="rId11" xr:uid="{00000000-0004-0000-0D00-00000A000000}"/>
    <hyperlink ref="G16" r:id="rId12" xr:uid="{00000000-0004-0000-0D00-00000B000000}"/>
    <hyperlink ref="G17" r:id="rId13" xr:uid="{00000000-0004-0000-0D00-00000C000000}"/>
    <hyperlink ref="G18" r:id="rId14" xr:uid="{00000000-0004-0000-0D00-00000D000000}"/>
    <hyperlink ref="G19" r:id="rId15" xr:uid="{00000000-0004-0000-0D00-00000E000000}"/>
    <hyperlink ref="G20" r:id="rId16" xr:uid="{00000000-0004-0000-0D00-00000F000000}"/>
    <hyperlink ref="G21" r:id="rId17" xr:uid="{00000000-0004-0000-0D00-000010000000}"/>
    <hyperlink ref="G22" r:id="rId18" xr:uid="{00000000-0004-0000-0D00-000011000000}"/>
    <hyperlink ref="G23" r:id="rId19" xr:uid="{00000000-0004-0000-0D00-000012000000}"/>
    <hyperlink ref="G24" r:id="rId20" xr:uid="{00000000-0004-0000-0D00-000013000000}"/>
    <hyperlink ref="G25" r:id="rId21" xr:uid="{00000000-0004-0000-0D00-000014000000}"/>
    <hyperlink ref="G26" r:id="rId22" xr:uid="{00000000-0004-0000-0D00-000015000000}"/>
    <hyperlink ref="G27" r:id="rId23" xr:uid="{00000000-0004-0000-0D00-000016000000}"/>
    <hyperlink ref="G28" r:id="rId24" xr:uid="{00000000-0004-0000-0D00-000017000000}"/>
    <hyperlink ref="G29" r:id="rId25" xr:uid="{00000000-0004-0000-0D00-000018000000}"/>
    <hyperlink ref="G30" r:id="rId26" xr:uid="{00000000-0004-0000-0D00-000019000000}"/>
    <hyperlink ref="G31" r:id="rId27" xr:uid="{00000000-0004-0000-0D00-00001A000000}"/>
    <hyperlink ref="G32" r:id="rId28" xr:uid="{00000000-0004-0000-0D00-00001B000000}"/>
    <hyperlink ref="G33" r:id="rId29" xr:uid="{00000000-0004-0000-0D00-00001C000000}"/>
    <hyperlink ref="G34" r:id="rId30" xr:uid="{00000000-0004-0000-0D00-00001D000000}"/>
    <hyperlink ref="G35" r:id="rId31" xr:uid="{00000000-0004-0000-0D00-00001E000000}"/>
    <hyperlink ref="G36" r:id="rId32" xr:uid="{00000000-0004-0000-0D00-00001F000000}"/>
    <hyperlink ref="G37" r:id="rId33" xr:uid="{00000000-0004-0000-0D00-00002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Progress</vt:lpstr>
      <vt:lpstr>Master Planner</vt:lpstr>
      <vt:lpstr>1 C Programming</vt:lpstr>
      <vt:lpstr>2 Data Structures</vt:lpstr>
      <vt:lpstr>3 Algorithms DAA</vt:lpstr>
      <vt:lpstr>4 Compiler Design</vt:lpstr>
      <vt:lpstr>5 Operating Systems</vt:lpstr>
      <vt:lpstr>6 Computer Networks</vt:lpstr>
      <vt:lpstr>7 Engineering Maths</vt:lpstr>
      <vt:lpstr>8 Aptitude</vt:lpstr>
      <vt:lpstr>Sunday Revision</vt:lpstr>
      <vt:lpstr>Uni Exams &amp; Wrap-up</vt:lpstr>
      <vt:lpstr>Playlist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Shreya</cp:lastModifiedBy>
  <cp:revision>0</cp:revision>
  <dcterms:created xsi:type="dcterms:W3CDTF">2026-10-13T04:23:45Z</dcterms:created>
  <dcterms:modified xsi:type="dcterms:W3CDTF">2026-10-13T06:28:39Z</dcterms:modified>
  <dc:language>en-US</dc:language>
</cp:coreProperties>
</file>